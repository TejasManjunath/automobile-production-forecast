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SM_MSc\Forecasting_project\results\graphs\Tables\files\"/>
    </mc:Choice>
  </mc:AlternateContent>
  <xr:revisionPtr revIDLastSave="0" documentId="13_ncr:1_{3C31818C-B39D-4CA2-847B-EAFAFD782782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1. Model Comparison" sheetId="1" r:id="rId1"/>
    <sheet name="2. VDA Benchmark" sheetId="2" r:id="rId2"/>
    <sheet name="3. Forward Forecast" sheetId="3" r:id="rId3"/>
    <sheet name="4. Stationarity (ADF)" sheetId="4" r:id="rId4"/>
    <sheet name="5. Notes" sheetId="5" r:id="rId5"/>
    <sheet name="6. ARIMA Candidates" sheetId="6" r:id="rId6"/>
    <sheet name="7. Stepwise Regressio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6" l="1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</calcChain>
</file>

<file path=xl/sharedStrings.xml><?xml version="1.0" encoding="utf-8"?>
<sst xmlns="http://schemas.openxmlformats.org/spreadsheetml/2006/main" count="181" uniqueCount="140">
  <si>
    <t>Model Comparison — all 10 models + combination</t>
  </si>
  <si>
    <t>Model</t>
  </si>
  <si>
    <t>ME</t>
  </si>
  <si>
    <t>MAE</t>
  </si>
  <si>
    <t>RMSE</t>
  </si>
  <si>
    <t>MAPE_%</t>
  </si>
  <si>
    <t>SMAPE_%</t>
  </si>
  <si>
    <t>Theil_U_InSample</t>
  </si>
  <si>
    <t>Theil_U_OOS</t>
  </si>
  <si>
    <t>LB_pvalue</t>
  </si>
  <si>
    <t>White_Noise</t>
  </si>
  <si>
    <t>Shapiro_pvalue</t>
  </si>
  <si>
    <t>Normal_Residuals</t>
  </si>
  <si>
    <t>Beats_Naive_OOS</t>
  </si>
  <si>
    <t>Proj_2026</t>
  </si>
  <si>
    <t>Note</t>
  </si>
  <si>
    <t>Mean</t>
  </si>
  <si>
    <t>No</t>
  </si>
  <si>
    <t>Yes</t>
  </si>
  <si>
    <t>NO</t>
  </si>
  <si>
    <t>Training-sample mean as a constant forecast (no trend/seasonality).</t>
  </si>
  <si>
    <t>MA(3)</t>
  </si>
  <si>
    <t>YES</t>
  </si>
  <si>
    <t>Average of the last 3 months — reacts fast, chases noise.</t>
  </si>
  <si>
    <t>MA(12)</t>
  </si>
  <si>
    <t>Average of the last 12 months — smooths a full seasonal cycle away.</t>
  </si>
  <si>
    <t>WMA(3)</t>
  </si>
  <si>
    <t>Weighted average of last 3 months, newest month weighted most.</t>
  </si>
  <si>
    <t>WMA(12)</t>
  </si>
  <si>
    <t>Linearly-weighted average over the last 12 months.</t>
  </si>
  <si>
    <t>SES</t>
  </si>
  <si>
    <t>Single exponential smoothing — optimised level only, no trend.</t>
  </si>
  <si>
    <t>Holt Damped</t>
  </si>
  <si>
    <t>Holt linear trend with damping — level + decaying trend.</t>
  </si>
  <si>
    <t>Lin. Reg.</t>
  </si>
  <si>
    <t>OLS with trend, monthly dummies, COVID dummy and AR lags (stepwise AIC).</t>
  </si>
  <si>
    <t>ARIMA</t>
  </si>
  <si>
    <t>ARIMA(1,1,1) + COVID dummy — non-seasonal Box-Jenkins.</t>
  </si>
  <si>
    <t>SARIMA</t>
  </si>
  <si>
    <t>SARIMA(0,1,1)(0,1,1)[12] + COVID dummy — seasonal Box-Jenkins.</t>
  </si>
  <si>
    <t>Holt-Winters</t>
  </si>
  <si>
    <t>Holt-Winters multiplicative, no trend — level + seasonal factors.</t>
  </si>
  <si>
    <t>Combination</t>
  </si>
  <si>
    <t>Equal-weight average of Holt-Winters and ARIMA (Bates &amp; Granger 1969).</t>
  </si>
  <si>
    <t>Our models vs VDA institutional forecast</t>
  </si>
  <si>
    <t>Year</t>
  </si>
  <si>
    <t>VDA_forecast</t>
  </si>
  <si>
    <t>Actual</t>
  </si>
  <si>
    <t>VDA_error_%</t>
  </si>
  <si>
    <t>Combination_error_%</t>
  </si>
  <si>
    <t>ARIMA_error_%</t>
  </si>
  <si>
    <t>Winner</t>
  </si>
  <si>
    <t>Our model</t>
  </si>
  <si>
    <t>VDA</t>
  </si>
  <si>
    <t>Forward forecast May 2026 - Dec 2027 (units/month)</t>
  </si>
  <si>
    <t>Date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</si>
  <si>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</si>
  <si>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</si>
  <si>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</si>
  <si>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</si>
  <si>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</si>
  <si>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</si>
  <si>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</si>
  <si>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</si>
  <si>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</si>
  <si>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</si>
  <si>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</si>
  <si>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</si>
  <si>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</si>
  <si>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</si>
  <si>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</si>
  <si>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</si>
  <si>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</si>
  <si>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</si>
  <si>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</si>
  <si>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</si>
  <si>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ADF stationarity tests — differencing decision</t>
  </si>
  <si>
    <t>Transformation</t>
  </si>
  <si>
    <t>ADF_stat</t>
  </si>
  <si>
    <t>p_value</t>
  </si>
  <si>
    <t>Result</t>
  </si>
  <si>
    <t>Level</t>
  </si>
  <si>
    <t>non-stationary</t>
  </si>
  <si>
    <t>d=1</t>
  </si>
  <si>
    <t>stationary</t>
  </si>
  <si>
    <t>D=12</t>
  </si>
  <si>
    <t>d=1, D=12</t>
  </si>
  <si>
    <t>Methodology notes</t>
  </si>
  <si>
    <t>DATASET: German monthly passenger car new registrations, Jan 2016 - Apr 2026 (n=124).</t>
  </si>
  <si>
    <t>SOURCE: VDA / KBA monthly time series (Bundesbank compilation).</t>
  </si>
  <si>
    <t>TARGET: pc_new_registrations (units per month).</t>
  </si>
  <si>
    <t>STRUCTURAL BREAK: COVID + chip shortage caused a level shift in 2020.</t>
  </si>
  <si>
    <t>Handled via an intervention dummy (=1 from Apr 2020) as exogenous regressor in ARIMA/SARIMA.</t>
  </si>
  <si>
    <t>STATIONARITY: series needs d=1 and D=12 (seasonal) to become stationary.</t>
  </si>
  <si>
    <t>MODEL IDENTIFICATION: ACF/PACF on differenced series + AIC grid search.</t>
  </si>
  <si>
    <t xml:space="preserve">  ARIMA(1,1,1) selected by AIC; SARIMA(0,1,1)(0,1,1)[12] selected by AIC.</t>
  </si>
  <si>
    <t xml:space="preserve">  Holt-Winters: multiplicative no-trend chosen by AIC across 4 variants.</t>
  </si>
  <si>
    <t>EVALUATION:</t>
  </si>
  <si>
    <t xml:space="preserve">  - In-sample metrics: ME, MAE, RMSE, MAPE, Theil's U.</t>
  </si>
  <si>
    <t xml:space="preserve">  - Out-of-sample (OOS): expanding-window backtest, 1-step-ahead, Theil's U.</t>
  </si>
  <si>
    <t xml:space="preserve">  - Residual diagnostics: Ljung-Box (white noise) + Shapiro-Wilk (normality).</t>
  </si>
  <si>
    <t>FORECAST COMBINATION: equal-weight average of Holt-Winters + ARIMA (Bates &amp; Granger 1969).</t>
  </si>
  <si>
    <t xml:space="preserve">  Combination OOS Theil's U = 0.8544 (best of all 12) - improves on both components.</t>
  </si>
  <si>
    <t>BENCHMARK: VDA publishes annual registration forecasts (2024: 2.8M, 2025: 2.84M, 2026: 2.9M).</t>
  </si>
  <si>
    <t xml:space="preserve">  Layer 1 (monthly): all models vs random walk via Theil's U.</t>
  </si>
  <si>
    <t xml:space="preserve">  Layer 2 (annual): sum 12 monthly forecasts vs VDA annual number.</t>
  </si>
  <si>
    <t xml:space="preserve">  Result: ARIMA beat VDA in 2024 (-0.01% vs -0.62%); split result overall.</t>
  </si>
  <si>
    <t>KEY FINDING: a purely statistical framework on public data is competitive with</t>
  </si>
  <si>
    <t>the VDA institutional benchmark, and the combination model beats the naive random walk by 14.6%.</t>
  </si>
  <si>
    <t>ARIMA order selection — AIC/BIC grid search</t>
  </si>
  <si>
    <t>order</t>
  </si>
  <si>
    <t>p</t>
  </si>
  <si>
    <t>d</t>
  </si>
  <si>
    <t>q</t>
  </si>
  <si>
    <t>AIC</t>
  </si>
  <si>
    <t>BIC</t>
  </si>
  <si>
    <t>converged</t>
  </si>
  <si>
    <t>ARIMA(1,1,1)</t>
  </si>
  <si>
    <t>ARIMA(3,1,2)</t>
  </si>
  <si>
    <t>ARIMA(0,1,2)</t>
  </si>
  <si>
    <t>ARIMA(2,1,3)</t>
  </si>
  <si>
    <t>ARIMA(3,1,3)</t>
  </si>
  <si>
    <t>ARIMA(0,1,3)</t>
  </si>
  <si>
    <t>ARIMA(2,1,0)</t>
  </si>
  <si>
    <t>ARIMA(1,1,2)</t>
  </si>
  <si>
    <t>ARIMA(2,1,1)</t>
  </si>
  <si>
    <t>ARIMA(0,1,1)</t>
  </si>
  <si>
    <t>ARIMA(3,1,0)</t>
  </si>
  <si>
    <t>ARIMA(1,1,3)</t>
  </si>
  <si>
    <t>ARIMA(3,1,1)</t>
  </si>
  <si>
    <t>ARIMA(2,1,2)</t>
  </si>
  <si>
    <t>ARIMA(1,1,0)</t>
  </si>
  <si>
    <t>Linear regression — backward stepwise (AIC) selection</t>
  </si>
  <si>
    <t>Selected_variables</t>
  </si>
  <si>
    <t>N_predictors</t>
  </si>
  <si>
    <t>R_squared</t>
  </si>
  <si>
    <t>Adj_R_squared</t>
  </si>
  <si>
    <t>Model_F_pvalue</t>
  </si>
  <si>
    <t>Backward Stepwise (AIC, p&lt;=0.10)</t>
  </si>
  <si>
    <t>M03, M05, M06, M07, M10, M11, M12, post_covid, lag1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</si>
</sst>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0392B"/>
      <name val="Arial"/>
      <family val="2"/>
    </font>
    <font>
      <b/>
      <sz val="10"/>
      <color rgb="FF1E8449"/>
      <name val="Arial"/>
      <family val="2"/>
    </font>
    <font>
      <b/>
      <sz val="10"/>
      <name val="Arial"/>
      <family val="2"/>
    </font>
    <font>
      <b/>
      <sz val="10"/>
      <color rgb="FF1E2761"/>
      <name val="Arial"/>
      <family val="2"/>
    </font>
    <font>
      <sz val="10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EAF3FB"/>
        <bgColor rgb="FFF2F3F4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EAF3FB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 indent="1"/>
    </xf>
    <xf numFmtId="0" fontId="0" fillId="0" borderId="13" xfId="0" applyBorder="1"/>
    <xf numFmtId="0" fontId="7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0" borderId="15" xfId="0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A"/>
      <rgbColor rgb="FF808080"/>
      <rgbColor rgb="FF9999FF"/>
      <rgbColor rgb="FF993366"/>
      <rgbColor rgb="FFF2F3F4"/>
      <rgbColor rgb="FFEAF3FB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1E8449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zoomScaleNormal="100" workbookViewId="0">
      <pane ySplit="3" topLeftCell="A4" activePane="bottomLeft" state="frozen"/>
      <selection pane="bottomLeft" activeCell="N26" sqref="N26"/>
    </sheetView>
  </sheetViews>
  <sheetFormatPr defaultColWidth="8.6640625" defaultRowHeight="14.4" x14ac:dyDescent="0.3"/>
  <cols>
    <col min="1" max="1" width="15" style="2" customWidth="1"/>
    <col min="2" max="6" width="12" style="2" customWidth="1"/>
    <col min="7" max="7" width="19" style="2" customWidth="1"/>
    <col min="8" max="8" width="14" style="2" customWidth="1"/>
    <col min="9" max="9" width="12" style="2" customWidth="1"/>
    <col min="10" max="10" width="14" style="2" customWidth="1"/>
    <col min="11" max="11" width="17" style="2" customWidth="1"/>
    <col min="12" max="12" width="19" style="2" customWidth="1"/>
    <col min="13" max="13" width="18" style="2" customWidth="1"/>
    <col min="14" max="14" width="12" style="2" customWidth="1"/>
    <col min="15" max="15" width="66.88671875" style="2" bestFit="1" customWidth="1"/>
    <col min="16" max="16384" width="8.6640625" style="2"/>
  </cols>
  <sheetData>
    <row r="1" spans="1:16" ht="24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5" thickBo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6" x14ac:dyDescent="0.3">
      <c r="A3" s="37" t="s">
        <v>1</v>
      </c>
      <c r="B3" s="38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38" t="s">
        <v>7</v>
      </c>
      <c r="H3" s="38" t="s">
        <v>8</v>
      </c>
      <c r="I3" s="38" t="s">
        <v>9</v>
      </c>
      <c r="J3" s="38" t="s">
        <v>10</v>
      </c>
      <c r="K3" s="38" t="s">
        <v>11</v>
      </c>
      <c r="L3" s="38" t="s">
        <v>12</v>
      </c>
      <c r="M3" s="38" t="s">
        <v>13</v>
      </c>
      <c r="N3" s="38" t="s">
        <v>14</v>
      </c>
      <c r="O3" s="39" t="s">
        <v>15</v>
      </c>
      <c r="P3" s="10"/>
    </row>
    <row r="4" spans="1:16" x14ac:dyDescent="0.3">
      <c r="A4" s="19" t="s">
        <v>16</v>
      </c>
      <c r="B4" s="5">
        <v>0</v>
      </c>
      <c r="C4" s="5">
        <v>36906</v>
      </c>
      <c r="D4" s="5">
        <v>45628</v>
      </c>
      <c r="E4" s="5">
        <v>15.37</v>
      </c>
      <c r="F4" s="5">
        <v>14.67</v>
      </c>
      <c r="G4" s="5">
        <v>1.0168999999999999</v>
      </c>
      <c r="H4" s="5">
        <v>1.1129</v>
      </c>
      <c r="I4" s="5">
        <v>0</v>
      </c>
      <c r="J4" s="5" t="s">
        <v>17</v>
      </c>
      <c r="K4" s="5">
        <v>0.33989999999999998</v>
      </c>
      <c r="L4" s="5" t="s">
        <v>18</v>
      </c>
      <c r="M4" s="6" t="s">
        <v>19</v>
      </c>
      <c r="N4" s="5">
        <v>2980513</v>
      </c>
      <c r="O4" s="24" t="s">
        <v>20</v>
      </c>
      <c r="P4" s="10"/>
    </row>
    <row r="5" spans="1:16" x14ac:dyDescent="0.3">
      <c r="A5" s="25" t="s">
        <v>21</v>
      </c>
      <c r="B5" s="7">
        <v>-377</v>
      </c>
      <c r="C5" s="7">
        <v>29590</v>
      </c>
      <c r="D5" s="7">
        <v>40938</v>
      </c>
      <c r="E5" s="7">
        <v>12.43</v>
      </c>
      <c r="F5" s="7">
        <v>11.94</v>
      </c>
      <c r="G5" s="7">
        <v>0.91239999999999999</v>
      </c>
      <c r="H5" s="7">
        <v>0.90690000000000004</v>
      </c>
      <c r="I5" s="7">
        <v>0</v>
      </c>
      <c r="J5" s="7" t="s">
        <v>17</v>
      </c>
      <c r="K5" s="7">
        <v>3.3999999999999998E-3</v>
      </c>
      <c r="L5" s="7" t="s">
        <v>17</v>
      </c>
      <c r="M5" s="8" t="s">
        <v>22</v>
      </c>
      <c r="N5" s="7">
        <v>2960796</v>
      </c>
      <c r="O5" s="26" t="s">
        <v>23</v>
      </c>
      <c r="P5" s="10"/>
    </row>
    <row r="6" spans="1:16" x14ac:dyDescent="0.3">
      <c r="A6" s="19" t="s">
        <v>24</v>
      </c>
      <c r="B6" s="5">
        <v>-1950</v>
      </c>
      <c r="C6" s="5">
        <v>31211</v>
      </c>
      <c r="D6" s="5">
        <v>40260</v>
      </c>
      <c r="E6" s="5">
        <v>13.2</v>
      </c>
      <c r="F6" s="5">
        <v>12.4</v>
      </c>
      <c r="G6" s="5">
        <v>0.89729999999999999</v>
      </c>
      <c r="H6" s="5">
        <v>0.91810000000000003</v>
      </c>
      <c r="I6" s="5">
        <v>0</v>
      </c>
      <c r="J6" s="5" t="s">
        <v>17</v>
      </c>
      <c r="K6" s="5">
        <v>5.1200000000000002E-2</v>
      </c>
      <c r="L6" s="5" t="s">
        <v>18</v>
      </c>
      <c r="M6" s="9" t="s">
        <v>22</v>
      </c>
      <c r="N6" s="5">
        <v>2881139</v>
      </c>
      <c r="O6" s="24" t="s">
        <v>25</v>
      </c>
      <c r="P6" s="10"/>
    </row>
    <row r="7" spans="1:16" x14ac:dyDescent="0.3">
      <c r="A7" s="25" t="s">
        <v>26</v>
      </c>
      <c r="B7" s="7">
        <v>519</v>
      </c>
      <c r="C7" s="7">
        <v>29410</v>
      </c>
      <c r="D7" s="7">
        <v>41078</v>
      </c>
      <c r="E7" s="7">
        <v>12.27</v>
      </c>
      <c r="F7" s="7">
        <v>11.87</v>
      </c>
      <c r="G7" s="7">
        <v>0.91549999999999998</v>
      </c>
      <c r="H7" s="7">
        <v>0.91410000000000002</v>
      </c>
      <c r="I7" s="7">
        <v>0</v>
      </c>
      <c r="J7" s="7" t="s">
        <v>17</v>
      </c>
      <c r="K7" s="7">
        <v>1.6000000000000001E-3</v>
      </c>
      <c r="L7" s="7" t="s">
        <v>17</v>
      </c>
      <c r="M7" s="8" t="s">
        <v>22</v>
      </c>
      <c r="N7" s="7">
        <v>3011331</v>
      </c>
      <c r="O7" s="26" t="s">
        <v>27</v>
      </c>
      <c r="P7" s="10"/>
    </row>
    <row r="8" spans="1:16" x14ac:dyDescent="0.3">
      <c r="A8" s="19" t="s">
        <v>28</v>
      </c>
      <c r="B8" s="5">
        <v>-225</v>
      </c>
      <c r="C8" s="5">
        <v>31531</v>
      </c>
      <c r="D8" s="5">
        <v>40678</v>
      </c>
      <c r="E8" s="5">
        <v>13.15</v>
      </c>
      <c r="F8" s="5">
        <v>12.55</v>
      </c>
      <c r="G8" s="5">
        <v>0.90659999999999996</v>
      </c>
      <c r="H8" s="5">
        <v>0.89090000000000003</v>
      </c>
      <c r="I8" s="5">
        <v>0</v>
      </c>
      <c r="J8" s="5" t="s">
        <v>17</v>
      </c>
      <c r="K8" s="5">
        <v>0.22950000000000001</v>
      </c>
      <c r="L8" s="5" t="s">
        <v>18</v>
      </c>
      <c r="M8" s="9" t="s">
        <v>22</v>
      </c>
      <c r="N8" s="5">
        <v>2883318</v>
      </c>
      <c r="O8" s="24" t="s">
        <v>29</v>
      </c>
      <c r="P8" s="10"/>
    </row>
    <row r="9" spans="1:16" x14ac:dyDescent="0.3">
      <c r="A9" s="25" t="s">
        <v>30</v>
      </c>
      <c r="B9" s="7">
        <v>-1319</v>
      </c>
      <c r="C9" s="7">
        <v>30309</v>
      </c>
      <c r="D9" s="7">
        <v>39577</v>
      </c>
      <c r="E9" s="7">
        <v>12.75</v>
      </c>
      <c r="F9" s="7">
        <v>12.1</v>
      </c>
      <c r="G9" s="7">
        <v>0.8821</v>
      </c>
      <c r="H9" s="7">
        <v>0.95730000000000004</v>
      </c>
      <c r="I9" s="7">
        <v>1E-4</v>
      </c>
      <c r="J9" s="7" t="s">
        <v>17</v>
      </c>
      <c r="K9" s="7">
        <v>0.1822</v>
      </c>
      <c r="L9" s="7" t="s">
        <v>18</v>
      </c>
      <c r="M9" s="8" t="s">
        <v>22</v>
      </c>
      <c r="N9" s="7">
        <v>2891369</v>
      </c>
      <c r="O9" s="26" t="s">
        <v>31</v>
      </c>
      <c r="P9" s="10"/>
    </row>
    <row r="10" spans="1:16" x14ac:dyDescent="0.3">
      <c r="A10" s="19" t="s">
        <v>32</v>
      </c>
      <c r="B10" s="5">
        <v>117</v>
      </c>
      <c r="C10" s="5">
        <v>30318</v>
      </c>
      <c r="D10" s="5">
        <v>39556</v>
      </c>
      <c r="E10" s="5">
        <v>12.69</v>
      </c>
      <c r="F10" s="5">
        <v>12.1</v>
      </c>
      <c r="G10" s="5">
        <v>0.88160000000000005</v>
      </c>
      <c r="H10" s="5">
        <v>0.90949999999999998</v>
      </c>
      <c r="I10" s="5">
        <v>1E-4</v>
      </c>
      <c r="J10" s="5" t="s">
        <v>17</v>
      </c>
      <c r="K10" s="5">
        <v>0.187</v>
      </c>
      <c r="L10" s="5" t="s">
        <v>18</v>
      </c>
      <c r="M10" s="9" t="s">
        <v>22</v>
      </c>
      <c r="N10" s="5">
        <v>2875814</v>
      </c>
      <c r="O10" s="24" t="s">
        <v>33</v>
      </c>
      <c r="P10" s="10"/>
    </row>
    <row r="11" spans="1:16" x14ac:dyDescent="0.3">
      <c r="A11" s="25" t="s">
        <v>34</v>
      </c>
      <c r="B11" s="7">
        <v>0</v>
      </c>
      <c r="C11" s="7">
        <v>19416</v>
      </c>
      <c r="D11" s="7">
        <v>27284</v>
      </c>
      <c r="E11" s="7">
        <v>8.26</v>
      </c>
      <c r="F11" s="7">
        <v>7.95</v>
      </c>
      <c r="G11" s="7">
        <v>0.60809999999999997</v>
      </c>
      <c r="H11" s="7">
        <v>0.98240000000000005</v>
      </c>
      <c r="I11" s="7">
        <v>4.99E-2</v>
      </c>
      <c r="J11" s="7" t="s">
        <v>17</v>
      </c>
      <c r="K11" s="7">
        <v>1E-3</v>
      </c>
      <c r="L11" s="7" t="s">
        <v>17</v>
      </c>
      <c r="M11" s="8" t="s">
        <v>22</v>
      </c>
      <c r="N11" s="7">
        <v>2851472</v>
      </c>
      <c r="O11" s="26" t="s">
        <v>35</v>
      </c>
      <c r="P11" s="10"/>
    </row>
    <row r="12" spans="1:16" x14ac:dyDescent="0.3">
      <c r="A12" s="19" t="s">
        <v>36</v>
      </c>
      <c r="B12" s="5">
        <v>10298</v>
      </c>
      <c r="C12" s="5">
        <v>31673</v>
      </c>
      <c r="D12" s="5">
        <v>45270</v>
      </c>
      <c r="E12" s="5">
        <v>12.65</v>
      </c>
      <c r="F12" s="5">
        <v>13.63</v>
      </c>
      <c r="G12" s="5">
        <v>1.0088999999999999</v>
      </c>
      <c r="H12" s="5">
        <v>0.92</v>
      </c>
      <c r="I12" s="5">
        <v>6.0000000000000001E-3</v>
      </c>
      <c r="J12" s="5" t="s">
        <v>17</v>
      </c>
      <c r="K12" s="5">
        <v>0</v>
      </c>
      <c r="L12" s="5" t="s">
        <v>17</v>
      </c>
      <c r="M12" s="9" t="s">
        <v>22</v>
      </c>
      <c r="N12" s="5">
        <v>2865947</v>
      </c>
      <c r="O12" s="24" t="s">
        <v>37</v>
      </c>
      <c r="P12" s="10"/>
    </row>
    <row r="13" spans="1:16" x14ac:dyDescent="0.3">
      <c r="A13" s="25" t="s">
        <v>38</v>
      </c>
      <c r="B13" s="7">
        <v>-1433</v>
      </c>
      <c r="C13" s="7">
        <v>31621</v>
      </c>
      <c r="D13" s="7">
        <v>45840</v>
      </c>
      <c r="E13" s="7">
        <v>13.22</v>
      </c>
      <c r="F13" s="7">
        <v>13.56</v>
      </c>
      <c r="G13" s="7">
        <v>1.0216000000000001</v>
      </c>
      <c r="H13" s="7">
        <v>0.89610000000000001</v>
      </c>
      <c r="I13" s="7">
        <v>0.2545</v>
      </c>
      <c r="J13" s="7" t="s">
        <v>18</v>
      </c>
      <c r="K13" s="7">
        <v>0</v>
      </c>
      <c r="L13" s="7" t="s">
        <v>17</v>
      </c>
      <c r="M13" s="8" t="s">
        <v>22</v>
      </c>
      <c r="N13" s="7">
        <v>3045838</v>
      </c>
      <c r="O13" s="26" t="s">
        <v>39</v>
      </c>
      <c r="P13" s="10"/>
    </row>
    <row r="14" spans="1:16" x14ac:dyDescent="0.3">
      <c r="A14" s="19" t="s">
        <v>40</v>
      </c>
      <c r="B14" s="5">
        <v>-357</v>
      </c>
      <c r="C14" s="5">
        <v>21480</v>
      </c>
      <c r="D14" s="5">
        <v>30146</v>
      </c>
      <c r="E14" s="5">
        <v>9.0500000000000007</v>
      </c>
      <c r="F14" s="5">
        <v>8.7200000000000006</v>
      </c>
      <c r="G14" s="5">
        <v>0.67190000000000005</v>
      </c>
      <c r="H14" s="5">
        <v>0.88700000000000001</v>
      </c>
      <c r="I14" s="5">
        <v>7.9600000000000004E-2</v>
      </c>
      <c r="J14" s="5" t="s">
        <v>18</v>
      </c>
      <c r="K14" s="5">
        <v>0</v>
      </c>
      <c r="L14" s="5" t="s">
        <v>17</v>
      </c>
      <c r="M14" s="9" t="s">
        <v>22</v>
      </c>
      <c r="N14" s="5">
        <v>2992302</v>
      </c>
      <c r="O14" s="24" t="s">
        <v>41</v>
      </c>
      <c r="P14" s="10"/>
    </row>
    <row r="15" spans="1:16" ht="15" thickBot="1" x14ac:dyDescent="0.35">
      <c r="A15" s="40" t="s">
        <v>42</v>
      </c>
      <c r="B15" s="41">
        <v>4971</v>
      </c>
      <c r="C15" s="41">
        <v>24064</v>
      </c>
      <c r="D15" s="41">
        <v>33614</v>
      </c>
      <c r="E15" s="41">
        <v>9.83</v>
      </c>
      <c r="F15" s="41">
        <v>9.8000000000000007</v>
      </c>
      <c r="G15" s="41">
        <v>0.74919999999999998</v>
      </c>
      <c r="H15" s="41">
        <v>0.85440000000000005</v>
      </c>
      <c r="I15" s="41">
        <v>0.1658</v>
      </c>
      <c r="J15" s="41" t="s">
        <v>18</v>
      </c>
      <c r="K15" s="41">
        <v>6.7999999999999996E-3</v>
      </c>
      <c r="L15" s="41" t="s">
        <v>17</v>
      </c>
      <c r="M15" s="42" t="s">
        <v>22</v>
      </c>
      <c r="N15" s="41">
        <v>2929124</v>
      </c>
      <c r="O15" s="43" t="s">
        <v>43</v>
      </c>
      <c r="P15" s="10"/>
    </row>
    <row r="16" spans="1:1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showGridLines="0" tabSelected="1" zoomScaleNormal="100" workbookViewId="0">
      <selection activeCell="E24" sqref="E24"/>
    </sheetView>
  </sheetViews>
  <sheetFormatPr defaultColWidth="8.6640625" defaultRowHeight="14.4" x14ac:dyDescent="0.3"/>
  <cols>
    <col min="1" max="1" width="12" style="2" customWidth="1"/>
    <col min="2" max="2" width="15" style="2" customWidth="1"/>
    <col min="3" max="3" width="12" style="2" customWidth="1"/>
    <col min="4" max="4" width="14" style="2" customWidth="1"/>
    <col min="5" max="5" width="22" style="2" customWidth="1"/>
    <col min="6" max="6" width="16" style="2" customWidth="1"/>
    <col min="7" max="7" width="12" style="2" customWidth="1"/>
    <col min="8" max="16384" width="8.6640625" style="2"/>
  </cols>
  <sheetData>
    <row r="1" spans="1:8" ht="24" customHeight="1" x14ac:dyDescent="0.3">
      <c r="A1" s="12" t="s">
        <v>44</v>
      </c>
      <c r="B1" s="13"/>
      <c r="C1" s="13"/>
      <c r="D1" s="13"/>
      <c r="E1" s="13"/>
      <c r="F1" s="13"/>
      <c r="G1" s="14"/>
      <c r="H1" s="10"/>
    </row>
    <row r="2" spans="1:8" x14ac:dyDescent="0.3">
      <c r="A2" s="15"/>
      <c r="G2" s="16"/>
      <c r="H2" s="10"/>
    </row>
    <row r="3" spans="1:8" x14ac:dyDescent="0.3">
      <c r="A3" s="17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18" t="s">
        <v>51</v>
      </c>
      <c r="H3" s="10"/>
    </row>
    <row r="4" spans="1:8" x14ac:dyDescent="0.3">
      <c r="A4" s="19">
        <v>2024</v>
      </c>
      <c r="B4" s="5">
        <v>2800000</v>
      </c>
      <c r="C4" s="5">
        <v>2817331</v>
      </c>
      <c r="D4" s="5">
        <v>-0.61499999999999999</v>
      </c>
      <c r="E4" s="5">
        <v>0.42199999999999999</v>
      </c>
      <c r="F4" s="5">
        <v>-6.0000000000000001E-3</v>
      </c>
      <c r="G4" s="20" t="s">
        <v>52</v>
      </c>
      <c r="H4" s="10"/>
    </row>
    <row r="5" spans="1:8" ht="15" thickBot="1" x14ac:dyDescent="0.35">
      <c r="A5" s="21">
        <v>2025</v>
      </c>
      <c r="B5" s="22">
        <v>2840000</v>
      </c>
      <c r="C5" s="22">
        <v>2857591</v>
      </c>
      <c r="D5" s="22">
        <v>-0.61599999999999999</v>
      </c>
      <c r="E5" s="22">
        <v>-1.1459999999999999</v>
      </c>
      <c r="F5" s="22">
        <v>-1.3640000000000001</v>
      </c>
      <c r="G5" s="23" t="s">
        <v>53</v>
      </c>
      <c r="H5" s="10"/>
    </row>
    <row r="6" spans="1:8" x14ac:dyDescent="0.3">
      <c r="A6" s="11"/>
      <c r="B6" s="11"/>
      <c r="C6" s="11"/>
      <c r="D6" s="11"/>
      <c r="E6" s="11"/>
      <c r="F6" s="11"/>
      <c r="G6" s="1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zoomScaleNormal="100" workbookViewId="0">
      <pane ySplit="3" topLeftCell="A4" activePane="bottomLeft" state="frozen"/>
      <selection pane="bottomLeft" activeCell="I9" sqref="I9"/>
    </sheetView>
  </sheetViews>
  <sheetFormatPr defaultColWidth="8.6640625" defaultRowHeight="14.4" x14ac:dyDescent="0.3"/>
  <cols>
    <col min="1" max="2" width="12" style="2" customWidth="1"/>
    <col min="3" max="3" width="15" style="2" customWidth="1"/>
    <col min="4" max="4" width="12" style="2" customWidth="1"/>
    <col min="5" max="5" width="14" style="2" customWidth="1"/>
    <col min="6" max="16384" width="8.6640625" style="2"/>
  </cols>
  <sheetData>
    <row r="1" spans="1:6" ht="24" customHeight="1" x14ac:dyDescent="0.3">
      <c r="A1" s="12" t="s">
        <v>54</v>
      </c>
      <c r="B1" s="13"/>
      <c r="C1" s="13"/>
      <c r="D1" s="13"/>
      <c r="E1" s="14"/>
      <c r="F1" s="10"/>
    </row>
    <row r="2" spans="1:6" x14ac:dyDescent="0.3">
      <c r="A2" s="15"/>
      <c r="E2" s="16"/>
      <c r="F2" s="10"/>
    </row>
    <row r="3" spans="1:6" x14ac:dyDescent="0.3">
      <c r="A3" s="17" t="s">
        <v>55</v>
      </c>
      <c r="B3" s="3" t="s">
        <v>38</v>
      </c>
      <c r="C3" s="3" t="s">
        <v>40</v>
      </c>
      <c r="D3" s="3" t="s">
        <v>36</v>
      </c>
      <c r="E3" s="18" t="s">
        <v>42</v>
      </c>
      <c r="F3" s="10"/>
    </row>
    <row r="4" spans="1:6" x14ac:dyDescent="0.3">
      <c r="A4" s="19" t="s">
        <v>56</v>
      </c>
      <c r="B4" s="5">
        <v>257606</v>
      </c>
      <c r="C4" s="5">
        <v>256931</v>
      </c>
      <c r="D4" s="5">
        <v>243781</v>
      </c>
      <c r="E4" s="24">
        <v>250356</v>
      </c>
      <c r="F4" s="10"/>
    </row>
    <row r="5" spans="1:6" x14ac:dyDescent="0.3">
      <c r="A5" s="25" t="s">
        <v>57</v>
      </c>
      <c r="B5" s="7">
        <v>289733</v>
      </c>
      <c r="C5" s="7">
        <v>285378</v>
      </c>
      <c r="D5" s="7">
        <v>241064</v>
      </c>
      <c r="E5" s="26">
        <v>263221</v>
      </c>
      <c r="F5" s="10"/>
    </row>
    <row r="6" spans="1:6" x14ac:dyDescent="0.3">
      <c r="A6" s="19" t="s">
        <v>58</v>
      </c>
      <c r="B6" s="5">
        <v>272292</v>
      </c>
      <c r="C6" s="5">
        <v>265805</v>
      </c>
      <c r="D6" s="5">
        <v>239692</v>
      </c>
      <c r="E6" s="24">
        <v>252748</v>
      </c>
      <c r="F6" s="10"/>
    </row>
    <row r="7" spans="1:6" x14ac:dyDescent="0.3">
      <c r="A7" s="25" t="s">
        <v>59</v>
      </c>
      <c r="B7" s="7">
        <v>238485</v>
      </c>
      <c r="C7" s="7">
        <v>243453</v>
      </c>
      <c r="D7" s="7">
        <v>238999</v>
      </c>
      <c r="E7" s="26">
        <v>241226</v>
      </c>
      <c r="F7" s="10"/>
    </row>
    <row r="8" spans="1:6" x14ac:dyDescent="0.3">
      <c r="A8" s="19" t="s">
        <v>60</v>
      </c>
      <c r="B8" s="5">
        <v>245931</v>
      </c>
      <c r="C8" s="5">
        <v>233420</v>
      </c>
      <c r="D8" s="5">
        <v>238649</v>
      </c>
      <c r="E8" s="24">
        <v>236035</v>
      </c>
      <c r="F8" s="10"/>
    </row>
    <row r="9" spans="1:6" x14ac:dyDescent="0.3">
      <c r="A9" s="25" t="s">
        <v>61</v>
      </c>
      <c r="B9" s="7">
        <v>255415</v>
      </c>
      <c r="C9" s="7">
        <v>240898</v>
      </c>
      <c r="D9" s="7">
        <v>238473</v>
      </c>
      <c r="E9" s="26">
        <v>239685</v>
      </c>
      <c r="F9" s="10"/>
    </row>
    <row r="10" spans="1:6" x14ac:dyDescent="0.3">
      <c r="A10" s="19" t="s">
        <v>62</v>
      </c>
      <c r="B10" s="5">
        <v>269462</v>
      </c>
      <c r="C10" s="5">
        <v>261108</v>
      </c>
      <c r="D10" s="5">
        <v>238384</v>
      </c>
      <c r="E10" s="24">
        <v>249746</v>
      </c>
      <c r="F10" s="10"/>
    </row>
    <row r="11" spans="1:6" x14ac:dyDescent="0.3">
      <c r="A11" s="25" t="s">
        <v>63</v>
      </c>
      <c r="B11" s="7">
        <v>268348</v>
      </c>
      <c r="C11" s="7">
        <v>256744</v>
      </c>
      <c r="D11" s="7">
        <v>238339</v>
      </c>
      <c r="E11" s="26">
        <v>247541</v>
      </c>
      <c r="F11" s="10"/>
    </row>
    <row r="12" spans="1:6" x14ac:dyDescent="0.3">
      <c r="A12" s="19" t="s">
        <v>64</v>
      </c>
      <c r="B12" s="5">
        <v>221132</v>
      </c>
      <c r="C12" s="5">
        <v>212637</v>
      </c>
      <c r="D12" s="5">
        <v>238316</v>
      </c>
      <c r="E12" s="24">
        <v>225476</v>
      </c>
      <c r="F12" s="10"/>
    </row>
    <row r="13" spans="1:6" x14ac:dyDescent="0.3">
      <c r="A13" s="25" t="s">
        <v>65</v>
      </c>
      <c r="B13" s="7">
        <v>231489</v>
      </c>
      <c r="C13" s="7">
        <v>223536</v>
      </c>
      <c r="D13" s="7">
        <v>238305</v>
      </c>
      <c r="E13" s="26">
        <v>230920</v>
      </c>
      <c r="F13" s="10"/>
    </row>
    <row r="14" spans="1:6" x14ac:dyDescent="0.3">
      <c r="A14" s="19" t="s">
        <v>66</v>
      </c>
      <c r="B14" s="5">
        <v>296566</v>
      </c>
      <c r="C14" s="5">
        <v>287339</v>
      </c>
      <c r="D14" s="5">
        <v>238299</v>
      </c>
      <c r="E14" s="24">
        <v>262819</v>
      </c>
      <c r="F14" s="10"/>
    </row>
    <row r="15" spans="1:6" x14ac:dyDescent="0.3">
      <c r="A15" s="25" t="s">
        <v>67</v>
      </c>
      <c r="B15" s="7">
        <v>259138</v>
      </c>
      <c r="C15" s="7">
        <v>245103</v>
      </c>
      <c r="D15" s="7">
        <v>238296</v>
      </c>
      <c r="E15" s="26">
        <v>241699</v>
      </c>
      <c r="F15" s="10"/>
    </row>
    <row r="16" spans="1:6" x14ac:dyDescent="0.3">
      <c r="A16" s="19" t="s">
        <v>68</v>
      </c>
      <c r="B16" s="5">
        <v>267211</v>
      </c>
      <c r="C16" s="5">
        <v>256931</v>
      </c>
      <c r="D16" s="5">
        <v>238294</v>
      </c>
      <c r="E16" s="24">
        <v>247613</v>
      </c>
      <c r="F16" s="10"/>
    </row>
    <row r="17" spans="1:6" x14ac:dyDescent="0.3">
      <c r="A17" s="25" t="s">
        <v>69</v>
      </c>
      <c r="B17" s="7">
        <v>299337</v>
      </c>
      <c r="C17" s="7">
        <v>285378</v>
      </c>
      <c r="D17" s="7">
        <v>238294</v>
      </c>
      <c r="E17" s="26">
        <v>261836</v>
      </c>
      <c r="F17" s="10"/>
    </row>
    <row r="18" spans="1:6" x14ac:dyDescent="0.3">
      <c r="A18" s="19" t="s">
        <v>70</v>
      </c>
      <c r="B18" s="5">
        <v>281896</v>
      </c>
      <c r="C18" s="5">
        <v>265805</v>
      </c>
      <c r="D18" s="5">
        <v>238293</v>
      </c>
      <c r="E18" s="24">
        <v>252049</v>
      </c>
      <c r="F18" s="10"/>
    </row>
    <row r="19" spans="1:6" x14ac:dyDescent="0.3">
      <c r="A19" s="25" t="s">
        <v>71</v>
      </c>
      <c r="B19" s="7">
        <v>248089</v>
      </c>
      <c r="C19" s="7">
        <v>243453</v>
      </c>
      <c r="D19" s="7">
        <v>238293</v>
      </c>
      <c r="E19" s="26">
        <v>240873</v>
      </c>
      <c r="F19" s="10"/>
    </row>
    <row r="20" spans="1:6" x14ac:dyDescent="0.3">
      <c r="A20" s="19" t="s">
        <v>72</v>
      </c>
      <c r="B20" s="5">
        <v>255536</v>
      </c>
      <c r="C20" s="5">
        <v>233420</v>
      </c>
      <c r="D20" s="5">
        <v>238293</v>
      </c>
      <c r="E20" s="24">
        <v>235856</v>
      </c>
      <c r="F20" s="10"/>
    </row>
    <row r="21" spans="1:6" x14ac:dyDescent="0.3">
      <c r="A21" s="25" t="s">
        <v>73</v>
      </c>
      <c r="B21" s="7">
        <v>265020</v>
      </c>
      <c r="C21" s="7">
        <v>240898</v>
      </c>
      <c r="D21" s="7">
        <v>238293</v>
      </c>
      <c r="E21" s="26">
        <v>239595</v>
      </c>
      <c r="F21" s="10"/>
    </row>
    <row r="22" spans="1:6" x14ac:dyDescent="0.3">
      <c r="A22" s="19" t="s">
        <v>74</v>
      </c>
      <c r="B22" s="5">
        <v>279067</v>
      </c>
      <c r="C22" s="5">
        <v>261108</v>
      </c>
      <c r="D22" s="5">
        <v>238293</v>
      </c>
      <c r="E22" s="24">
        <v>249700</v>
      </c>
      <c r="F22" s="10"/>
    </row>
    <row r="23" spans="1:6" ht="15" thickBot="1" x14ac:dyDescent="0.35">
      <c r="A23" s="21" t="s">
        <v>75</v>
      </c>
      <c r="B23" s="22">
        <v>277952</v>
      </c>
      <c r="C23" s="22">
        <v>256744</v>
      </c>
      <c r="D23" s="22">
        <v>238293</v>
      </c>
      <c r="E23" s="27">
        <v>247518</v>
      </c>
      <c r="F23" s="10"/>
    </row>
    <row r="24" spans="1:6" x14ac:dyDescent="0.3">
      <c r="A24" s="11"/>
      <c r="B24" s="11"/>
      <c r="C24" s="11"/>
      <c r="D24" s="11"/>
      <c r="E24" s="11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zoomScaleNormal="100" workbookViewId="0">
      <selection activeCell="I8" sqref="I8"/>
    </sheetView>
  </sheetViews>
  <sheetFormatPr defaultColWidth="8.6640625" defaultRowHeight="14.4" x14ac:dyDescent="0.3"/>
  <cols>
    <col min="1" max="1" width="17" style="2" customWidth="1"/>
    <col min="2" max="3" width="12" style="2" customWidth="1"/>
    <col min="4" max="4" width="17" style="2" customWidth="1"/>
    <col min="5" max="16384" width="8.6640625" style="2"/>
  </cols>
  <sheetData>
    <row r="1" spans="1:5" ht="24" customHeight="1" x14ac:dyDescent="0.3">
      <c r="A1" s="12" t="s">
        <v>76</v>
      </c>
      <c r="B1" s="13"/>
      <c r="C1" s="13"/>
      <c r="D1" s="14"/>
      <c r="E1" s="10"/>
    </row>
    <row r="2" spans="1:5" x14ac:dyDescent="0.3">
      <c r="A2" s="15"/>
      <c r="D2" s="16"/>
      <c r="E2" s="10"/>
    </row>
    <row r="3" spans="1:5" x14ac:dyDescent="0.3">
      <c r="A3" s="17" t="s">
        <v>77</v>
      </c>
      <c r="B3" s="3" t="s">
        <v>78</v>
      </c>
      <c r="C3" s="3" t="s">
        <v>79</v>
      </c>
      <c r="D3" s="18" t="s">
        <v>80</v>
      </c>
      <c r="E3" s="10"/>
    </row>
    <row r="4" spans="1:5" x14ac:dyDescent="0.3">
      <c r="A4" s="19" t="s">
        <v>81</v>
      </c>
      <c r="B4" s="5">
        <v>-1.544</v>
      </c>
      <c r="C4" s="5">
        <v>0.51149999999999995</v>
      </c>
      <c r="D4" s="24" t="s">
        <v>82</v>
      </c>
      <c r="E4" s="10"/>
    </row>
    <row r="5" spans="1:5" x14ac:dyDescent="0.3">
      <c r="A5" s="25" t="s">
        <v>83</v>
      </c>
      <c r="B5" s="7">
        <v>-4.4189999999999996</v>
      </c>
      <c r="C5" s="7">
        <v>2.9999999999999997E-4</v>
      </c>
      <c r="D5" s="26" t="s">
        <v>84</v>
      </c>
      <c r="E5" s="10"/>
    </row>
    <row r="6" spans="1:5" x14ac:dyDescent="0.3">
      <c r="A6" s="19" t="s">
        <v>85</v>
      </c>
      <c r="B6" s="5">
        <v>-2.6160000000000001</v>
      </c>
      <c r="C6" s="5">
        <v>8.9700000000000002E-2</v>
      </c>
      <c r="D6" s="24" t="s">
        <v>82</v>
      </c>
      <c r="E6" s="10"/>
    </row>
    <row r="7" spans="1:5" ht="15" thickBot="1" x14ac:dyDescent="0.35">
      <c r="A7" s="21" t="s">
        <v>86</v>
      </c>
      <c r="B7" s="22">
        <v>-5.3890000000000002</v>
      </c>
      <c r="C7" s="22">
        <v>0</v>
      </c>
      <c r="D7" s="27" t="s">
        <v>84</v>
      </c>
      <c r="E7" s="10"/>
    </row>
    <row r="8" spans="1:5" x14ac:dyDescent="0.3">
      <c r="A8" s="11"/>
      <c r="B8" s="11"/>
      <c r="C8" s="11"/>
      <c r="D8" s="1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"/>
  <sheetViews>
    <sheetView showGridLines="0" zoomScaleNormal="100" workbookViewId="0"/>
  </sheetViews>
  <sheetFormatPr defaultColWidth="8.6640625" defaultRowHeight="14.4" x14ac:dyDescent="0.3"/>
  <cols>
    <col min="1" max="1" width="100" style="2" customWidth="1"/>
    <col min="2" max="16384" width="8.6640625" style="2"/>
  </cols>
  <sheetData>
    <row r="1" spans="1:2" ht="24" customHeight="1" x14ac:dyDescent="0.3">
      <c r="A1" s="28" t="s">
        <v>87</v>
      </c>
      <c r="B1" s="10"/>
    </row>
    <row r="2" spans="1:2" x14ac:dyDescent="0.3">
      <c r="A2" s="29"/>
      <c r="B2" s="10"/>
    </row>
    <row r="3" spans="1:2" x14ac:dyDescent="0.3">
      <c r="A3" s="30" t="s">
        <v>88</v>
      </c>
      <c r="B3" s="10"/>
    </row>
    <row r="4" spans="1:2" x14ac:dyDescent="0.3">
      <c r="A4" s="30" t="s">
        <v>89</v>
      </c>
      <c r="B4" s="10"/>
    </row>
    <row r="5" spans="1:2" x14ac:dyDescent="0.3">
      <c r="A5" s="30" t="s">
        <v>90</v>
      </c>
      <c r="B5" s="10"/>
    </row>
    <row r="6" spans="1:2" x14ac:dyDescent="0.3">
      <c r="A6" s="31"/>
      <c r="B6" s="10"/>
    </row>
    <row r="7" spans="1:2" x14ac:dyDescent="0.3">
      <c r="A7" s="30" t="s">
        <v>91</v>
      </c>
      <c r="B7" s="10"/>
    </row>
    <row r="8" spans="1:2" x14ac:dyDescent="0.3">
      <c r="A8" s="31" t="s">
        <v>92</v>
      </c>
      <c r="B8" s="10"/>
    </row>
    <row r="9" spans="1:2" x14ac:dyDescent="0.3">
      <c r="A9" s="31"/>
      <c r="B9" s="10"/>
    </row>
    <row r="10" spans="1:2" x14ac:dyDescent="0.3">
      <c r="A10" s="30" t="s">
        <v>93</v>
      </c>
      <c r="B10" s="10"/>
    </row>
    <row r="11" spans="1:2" x14ac:dyDescent="0.3">
      <c r="A11" s="30" t="s">
        <v>94</v>
      </c>
      <c r="B11" s="10"/>
    </row>
    <row r="12" spans="1:2" x14ac:dyDescent="0.3">
      <c r="A12" s="31" t="s">
        <v>95</v>
      </c>
      <c r="B12" s="10"/>
    </row>
    <row r="13" spans="1:2" x14ac:dyDescent="0.3">
      <c r="A13" s="31" t="s">
        <v>96</v>
      </c>
      <c r="B13" s="10"/>
    </row>
    <row r="14" spans="1:2" x14ac:dyDescent="0.3">
      <c r="A14" s="31"/>
      <c r="B14" s="10"/>
    </row>
    <row r="15" spans="1:2" x14ac:dyDescent="0.3">
      <c r="A15" s="30" t="s">
        <v>97</v>
      </c>
      <c r="B15" s="10"/>
    </row>
    <row r="16" spans="1:2" x14ac:dyDescent="0.3">
      <c r="A16" s="31" t="s">
        <v>98</v>
      </c>
      <c r="B16" s="10"/>
    </row>
    <row r="17" spans="1:2" x14ac:dyDescent="0.3">
      <c r="A17" s="31" t="s">
        <v>99</v>
      </c>
      <c r="B17" s="10"/>
    </row>
    <row r="18" spans="1:2" x14ac:dyDescent="0.3">
      <c r="A18" s="31" t="s">
        <v>100</v>
      </c>
      <c r="B18" s="10"/>
    </row>
    <row r="19" spans="1:2" x14ac:dyDescent="0.3">
      <c r="A19" s="31"/>
      <c r="B19" s="10"/>
    </row>
    <row r="20" spans="1:2" x14ac:dyDescent="0.3">
      <c r="A20" s="30" t="s">
        <v>101</v>
      </c>
      <c r="B20" s="10"/>
    </row>
    <row r="21" spans="1:2" x14ac:dyDescent="0.3">
      <c r="A21" s="31" t="s">
        <v>102</v>
      </c>
      <c r="B21" s="10"/>
    </row>
    <row r="22" spans="1:2" x14ac:dyDescent="0.3">
      <c r="A22" s="31"/>
      <c r="B22" s="10"/>
    </row>
    <row r="23" spans="1:2" x14ac:dyDescent="0.3">
      <c r="A23" s="30" t="s">
        <v>103</v>
      </c>
      <c r="B23" s="10"/>
    </row>
    <row r="24" spans="1:2" x14ac:dyDescent="0.3">
      <c r="A24" s="31" t="s">
        <v>104</v>
      </c>
      <c r="B24" s="10"/>
    </row>
    <row r="25" spans="1:2" x14ac:dyDescent="0.3">
      <c r="A25" s="31" t="s">
        <v>105</v>
      </c>
      <c r="B25" s="10"/>
    </row>
    <row r="26" spans="1:2" x14ac:dyDescent="0.3">
      <c r="A26" s="31" t="s">
        <v>106</v>
      </c>
      <c r="B26" s="10"/>
    </row>
    <row r="27" spans="1:2" x14ac:dyDescent="0.3">
      <c r="A27" s="31"/>
      <c r="B27" s="10"/>
    </row>
    <row r="28" spans="1:2" x14ac:dyDescent="0.3">
      <c r="A28" s="30" t="s">
        <v>107</v>
      </c>
      <c r="B28" s="10"/>
    </row>
    <row r="29" spans="1:2" ht="15" thickBot="1" x14ac:dyDescent="0.35">
      <c r="A29" s="32" t="s">
        <v>108</v>
      </c>
      <c r="B29" s="10"/>
    </row>
    <row r="30" spans="1:2" x14ac:dyDescent="0.3">
      <c r="A3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zoomScaleNormal="100" workbookViewId="0">
      <pane ySplit="3" topLeftCell="A4" activePane="bottomLeft" state="frozen"/>
      <selection pane="bottomLeft" activeCell="I9" sqref="I9"/>
    </sheetView>
  </sheetViews>
  <sheetFormatPr defaultColWidth="8.6640625" defaultRowHeight="14.4" x14ac:dyDescent="0.3"/>
  <cols>
    <col min="1" max="1" width="15" style="2" customWidth="1"/>
    <col min="2" max="7" width="12" style="2" customWidth="1"/>
    <col min="8" max="16384" width="8.6640625" style="2"/>
  </cols>
  <sheetData>
    <row r="1" spans="1:8" ht="24" customHeight="1" x14ac:dyDescent="0.3">
      <c r="A1" s="12" t="s">
        <v>109</v>
      </c>
      <c r="B1" s="13"/>
      <c r="C1" s="13"/>
      <c r="D1" s="13"/>
      <c r="E1" s="13"/>
      <c r="F1" s="13"/>
      <c r="G1" s="14"/>
      <c r="H1" s="10"/>
    </row>
    <row r="2" spans="1:8" x14ac:dyDescent="0.3">
      <c r="A2" s="15"/>
      <c r="G2" s="16"/>
      <c r="H2" s="10"/>
    </row>
    <row r="3" spans="1:8" x14ac:dyDescent="0.3">
      <c r="A3" s="17" t="s">
        <v>110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18" t="s">
        <v>116</v>
      </c>
      <c r="H3" s="10"/>
    </row>
    <row r="4" spans="1:8" x14ac:dyDescent="0.3">
      <c r="A4" s="19" t="s">
        <v>117</v>
      </c>
      <c r="B4" s="5">
        <v>1</v>
      </c>
      <c r="C4" s="5">
        <v>1</v>
      </c>
      <c r="D4" s="5">
        <v>1</v>
      </c>
      <c r="E4" s="5">
        <v>2968.12</v>
      </c>
      <c r="F4" s="5">
        <v>2979.37</v>
      </c>
      <c r="G4" s="24" t="b">
        <f>TRUE()</f>
        <v>1</v>
      </c>
      <c r="H4" s="10"/>
    </row>
    <row r="5" spans="1:8" x14ac:dyDescent="0.3">
      <c r="A5" s="25" t="s">
        <v>118</v>
      </c>
      <c r="B5" s="7">
        <v>3</v>
      </c>
      <c r="C5" s="7">
        <v>1</v>
      </c>
      <c r="D5" s="7">
        <v>2</v>
      </c>
      <c r="E5" s="7">
        <v>2970.37</v>
      </c>
      <c r="F5" s="7">
        <v>2990.06</v>
      </c>
      <c r="G5" s="26" t="b">
        <f>TRUE()</f>
        <v>1</v>
      </c>
      <c r="H5" s="10"/>
    </row>
    <row r="6" spans="1:8" x14ac:dyDescent="0.3">
      <c r="A6" s="19" t="s">
        <v>119</v>
      </c>
      <c r="B6" s="5">
        <v>0</v>
      </c>
      <c r="C6" s="5">
        <v>1</v>
      </c>
      <c r="D6" s="5">
        <v>2</v>
      </c>
      <c r="E6" s="5">
        <v>2970.71</v>
      </c>
      <c r="F6" s="5">
        <v>2981.96</v>
      </c>
      <c r="G6" s="24" t="b">
        <f>TRUE()</f>
        <v>1</v>
      </c>
      <c r="H6" s="10"/>
    </row>
    <row r="7" spans="1:8" x14ac:dyDescent="0.3">
      <c r="A7" s="25" t="s">
        <v>120</v>
      </c>
      <c r="B7" s="7">
        <v>2</v>
      </c>
      <c r="C7" s="7">
        <v>1</v>
      </c>
      <c r="D7" s="7">
        <v>3</v>
      </c>
      <c r="E7" s="7">
        <v>2971.4</v>
      </c>
      <c r="F7" s="7">
        <v>2991.08</v>
      </c>
      <c r="G7" s="26" t="b">
        <f>TRUE()</f>
        <v>1</v>
      </c>
      <c r="H7" s="10"/>
    </row>
    <row r="8" spans="1:8" x14ac:dyDescent="0.3">
      <c r="A8" s="19" t="s">
        <v>121</v>
      </c>
      <c r="B8" s="5">
        <v>3</v>
      </c>
      <c r="C8" s="5">
        <v>1</v>
      </c>
      <c r="D8" s="5">
        <v>3</v>
      </c>
      <c r="E8" s="5">
        <v>2972.33</v>
      </c>
      <c r="F8" s="5">
        <v>2994.82</v>
      </c>
      <c r="G8" s="24" t="b">
        <f>TRUE()</f>
        <v>1</v>
      </c>
      <c r="H8" s="10"/>
    </row>
    <row r="9" spans="1:8" x14ac:dyDescent="0.3">
      <c r="A9" s="25" t="s">
        <v>122</v>
      </c>
      <c r="B9" s="7">
        <v>0</v>
      </c>
      <c r="C9" s="7">
        <v>1</v>
      </c>
      <c r="D9" s="7">
        <v>3</v>
      </c>
      <c r="E9" s="7">
        <v>2972.9</v>
      </c>
      <c r="F9" s="7">
        <v>2986.96</v>
      </c>
      <c r="G9" s="26" t="b">
        <f>TRUE()</f>
        <v>1</v>
      </c>
      <c r="H9" s="10"/>
    </row>
    <row r="10" spans="1:8" x14ac:dyDescent="0.3">
      <c r="A10" s="19" t="s">
        <v>123</v>
      </c>
      <c r="B10" s="5">
        <v>2</v>
      </c>
      <c r="C10" s="5">
        <v>1</v>
      </c>
      <c r="D10" s="5">
        <v>0</v>
      </c>
      <c r="E10" s="5">
        <v>2973.46</v>
      </c>
      <c r="F10" s="5">
        <v>2984.71</v>
      </c>
      <c r="G10" s="24" t="b">
        <f>TRUE()</f>
        <v>1</v>
      </c>
      <c r="H10" s="10"/>
    </row>
    <row r="11" spans="1:8" x14ac:dyDescent="0.3">
      <c r="A11" s="25" t="s">
        <v>124</v>
      </c>
      <c r="B11" s="7">
        <v>1</v>
      </c>
      <c r="C11" s="7">
        <v>1</v>
      </c>
      <c r="D11" s="7">
        <v>2</v>
      </c>
      <c r="E11" s="7">
        <v>2973.48</v>
      </c>
      <c r="F11" s="7">
        <v>2987.55</v>
      </c>
      <c r="G11" s="26" t="b">
        <f>TRUE()</f>
        <v>1</v>
      </c>
      <c r="H11" s="10"/>
    </row>
    <row r="12" spans="1:8" x14ac:dyDescent="0.3">
      <c r="A12" s="19" t="s">
        <v>125</v>
      </c>
      <c r="B12" s="5">
        <v>2</v>
      </c>
      <c r="C12" s="5">
        <v>1</v>
      </c>
      <c r="D12" s="5">
        <v>1</v>
      </c>
      <c r="E12" s="5">
        <v>2973.85</v>
      </c>
      <c r="F12" s="5">
        <v>2987.91</v>
      </c>
      <c r="G12" s="24" t="b">
        <f>TRUE()</f>
        <v>1</v>
      </c>
      <c r="H12" s="10"/>
    </row>
    <row r="13" spans="1:8" x14ac:dyDescent="0.3">
      <c r="A13" s="25" t="s">
        <v>126</v>
      </c>
      <c r="B13" s="7">
        <v>0</v>
      </c>
      <c r="C13" s="7">
        <v>1</v>
      </c>
      <c r="D13" s="7">
        <v>1</v>
      </c>
      <c r="E13" s="7">
        <v>2974.29</v>
      </c>
      <c r="F13" s="7">
        <v>2982.73</v>
      </c>
      <c r="G13" s="26" t="b">
        <f>TRUE()</f>
        <v>1</v>
      </c>
      <c r="H13" s="10"/>
    </row>
    <row r="14" spans="1:8" x14ac:dyDescent="0.3">
      <c r="A14" s="19" t="s">
        <v>127</v>
      </c>
      <c r="B14" s="5">
        <v>3</v>
      </c>
      <c r="C14" s="5">
        <v>1</v>
      </c>
      <c r="D14" s="5">
        <v>0</v>
      </c>
      <c r="E14" s="5">
        <v>2974.92</v>
      </c>
      <c r="F14" s="5">
        <v>2988.98</v>
      </c>
      <c r="G14" s="24" t="b">
        <f>TRUE()</f>
        <v>1</v>
      </c>
      <c r="H14" s="10"/>
    </row>
    <row r="15" spans="1:8" x14ac:dyDescent="0.3">
      <c r="A15" s="25" t="s">
        <v>128</v>
      </c>
      <c r="B15" s="7">
        <v>1</v>
      </c>
      <c r="C15" s="7">
        <v>1</v>
      </c>
      <c r="D15" s="7">
        <v>3</v>
      </c>
      <c r="E15" s="7">
        <v>2975.04</v>
      </c>
      <c r="F15" s="7">
        <v>2991.92</v>
      </c>
      <c r="G15" s="26" t="b">
        <f>TRUE()</f>
        <v>1</v>
      </c>
      <c r="H15" s="10"/>
    </row>
    <row r="16" spans="1:8" x14ac:dyDescent="0.3">
      <c r="A16" s="19" t="s">
        <v>129</v>
      </c>
      <c r="B16" s="5">
        <v>3</v>
      </c>
      <c r="C16" s="5">
        <v>1</v>
      </c>
      <c r="D16" s="5">
        <v>1</v>
      </c>
      <c r="E16" s="5">
        <v>2975.63</v>
      </c>
      <c r="F16" s="5">
        <v>2992.51</v>
      </c>
      <c r="G16" s="24" t="b">
        <f>TRUE()</f>
        <v>1</v>
      </c>
      <c r="H16" s="10"/>
    </row>
    <row r="17" spans="1:8" x14ac:dyDescent="0.3">
      <c r="A17" s="25" t="s">
        <v>130</v>
      </c>
      <c r="B17" s="7">
        <v>2</v>
      </c>
      <c r="C17" s="7">
        <v>1</v>
      </c>
      <c r="D17" s="7">
        <v>2</v>
      </c>
      <c r="E17" s="7">
        <v>2975.66</v>
      </c>
      <c r="F17" s="7">
        <v>2992.53</v>
      </c>
      <c r="G17" s="26" t="b">
        <f>TRUE()</f>
        <v>1</v>
      </c>
      <c r="H17" s="10"/>
    </row>
    <row r="18" spans="1:8" ht="15" thickBot="1" x14ac:dyDescent="0.35">
      <c r="A18" s="33" t="s">
        <v>131</v>
      </c>
      <c r="B18" s="34">
        <v>1</v>
      </c>
      <c r="C18" s="34">
        <v>1</v>
      </c>
      <c r="D18" s="34">
        <v>0</v>
      </c>
      <c r="E18" s="34">
        <v>2978.54</v>
      </c>
      <c r="F18" s="34">
        <v>2986.98</v>
      </c>
      <c r="G18" s="35" t="b">
        <f>TRUE()</f>
        <v>1</v>
      </c>
      <c r="H18" s="10"/>
    </row>
    <row r="19" spans="1:8" x14ac:dyDescent="0.3">
      <c r="A19" s="11"/>
      <c r="B19" s="11"/>
      <c r="C19" s="11"/>
      <c r="D19" s="11"/>
      <c r="E19" s="11"/>
      <c r="F19" s="11"/>
      <c r="G19" s="1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showGridLines="0" zoomScaleNormal="100" workbookViewId="0">
      <selection activeCell="G14" sqref="G14"/>
    </sheetView>
  </sheetViews>
  <sheetFormatPr defaultColWidth="8.6640625" defaultRowHeight="14.4" x14ac:dyDescent="0.3"/>
  <cols>
    <col min="1" max="2" width="26" style="2" customWidth="1"/>
    <col min="3" max="3" width="15" style="2" customWidth="1"/>
    <col min="4" max="6" width="12" style="2" customWidth="1"/>
    <col min="7" max="7" width="16" style="2" customWidth="1"/>
    <col min="8" max="8" width="17" style="2" customWidth="1"/>
    <col min="9" max="16384" width="8.6640625" style="2"/>
  </cols>
  <sheetData>
    <row r="1" spans="1:8" ht="24" customHeight="1" x14ac:dyDescent="0.3">
      <c r="A1" s="1" t="s">
        <v>132</v>
      </c>
      <c r="B1" s="1"/>
      <c r="C1" s="1"/>
      <c r="D1" s="1"/>
      <c r="E1" s="1"/>
      <c r="F1" s="1"/>
      <c r="G1" s="1"/>
      <c r="H1" s="1"/>
    </row>
    <row r="3" spans="1:8" x14ac:dyDescent="0.3">
      <c r="A3" s="3" t="s">
        <v>1</v>
      </c>
      <c r="B3" s="3" t="s">
        <v>133</v>
      </c>
      <c r="C3" s="3" t="s">
        <v>134</v>
      </c>
      <c r="D3" s="3" t="s">
        <v>114</v>
      </c>
      <c r="E3" s="3" t="s">
        <v>115</v>
      </c>
      <c r="F3" s="3" t="s">
        <v>135</v>
      </c>
      <c r="G3" s="3" t="s">
        <v>136</v>
      </c>
      <c r="H3" s="3" t="s">
        <v>137</v>
      </c>
    </row>
    <row r="4" spans="1:8" x14ac:dyDescent="0.3">
      <c r="A4" s="4" t="s">
        <v>138</v>
      </c>
      <c r="B4" s="5" t="s">
        <v>139</v>
      </c>
      <c r="C4" s="5">
        <v>9</v>
      </c>
      <c r="D4" s="5">
        <v>2637.19</v>
      </c>
      <c r="E4" s="5">
        <v>2664.37</v>
      </c>
      <c r="F4" s="5">
        <v>0.60860000000000003</v>
      </c>
      <c r="G4" s="5">
        <v>0.57410000000000005</v>
      </c>
      <c r="H4" s="5"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Model Comparison</vt:lpstr>
      <vt:lpstr>2. VDA Benchmark</vt:lpstr>
      <vt:lpstr>3. Forward Forecast</vt:lpstr>
      <vt:lpstr>4. Stationarity (ADF)</vt:lpstr>
      <vt:lpstr>5. Notes</vt:lpstr>
      <vt:lpstr>6. ARIMA Candidates</vt:lpstr>
      <vt:lpstr>7. Stepwise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Manjunath, Tejas</cp:lastModifiedBy>
  <cp:revision>0</cp:revision>
  <dcterms:created xsi:type="dcterms:W3CDTF">2026-06-24T12:37:41Z</dcterms:created>
  <dcterms:modified xsi:type="dcterms:W3CDTF">2026-06-24T12:46:51Z</dcterms:modified>
  <dc:language>en-US</dc:language>
</cp:coreProperties>
</file>