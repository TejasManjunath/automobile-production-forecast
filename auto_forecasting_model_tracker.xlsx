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Model Leaderboard" sheetId="1" state="visible" r:id="rId3"/>
    <sheet name="🏁 VDA Benchmark" sheetId="2" state="visible" r:id="rId4"/>
    <sheet name="📋 Backtest Detail" sheetId="3" state="visible" r:id="rId5"/>
    <sheet name="📌 Instructio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<sst xmlns="http://schemas.openxmlformats.org/spreadsheetml/2006/main" count="112" uniqueCount="87">
  <si>
    <t xml:space="preserve">German Automotive Registrations — Forecasting Model Comparison</t>
  </si>
  <si>
    <t xml:space="preserve">Dataset: KBA/VDA monthly new registrations 2016–2026 (n=124)  |  Target: pc_new_registrations  |  Backtest: expanding window, min_train=48</t>
  </si>
  <si>
    <t xml:space="preserve">Model Name</t>
  </si>
  <si>
    <t xml:space="preserve">Owner</t>
  </si>
  <si>
    <t xml:space="preserve">Type</t>
  </si>
  <si>
    <t xml:space="preserve">ME</t>
  </si>
  <si>
    <t xml:space="preserve">MAE</t>
  </si>
  <si>
    <t xml:space="preserve">RMSE</t>
  </si>
  <si>
    <t xml:space="preserve">Theil's U</t>
  </si>
  <si>
    <t xml:space="preserve">White Noise p</t>
  </si>
  <si>
    <t xml:space="preserve">Normality p</t>
  </si>
  <si>
    <t xml:space="preserve">In/Out Sample</t>
  </si>
  <si>
    <t xml:space="preserve">Beats Naive?</t>
  </si>
  <si>
    <t xml:space="preserve">Residuals OK?</t>
  </si>
  <si>
    <t xml:space="preserve">Notes</t>
  </si>
  <si>
    <t xml:space="preserve">Mean</t>
  </si>
  <si>
    <t xml:space="preserve">modeler1</t>
  </si>
  <si>
    <t xml:space="preserve">Baseline</t>
  </si>
  <si>
    <t xml:space="preserve">oos</t>
  </si>
  <si>
    <t xml:space="preserve">Moving Average MA(k)</t>
  </si>
  <si>
    <t xml:space="preserve">Weighted MA (WMA)</t>
  </si>
  <si>
    <t xml:space="preserve">Single Exp. Smooth</t>
  </si>
  <si>
    <t xml:space="preserve">Smoothing</t>
  </si>
  <si>
    <t xml:space="preserve">Holt (Double Exp.)</t>
  </si>
  <si>
    <t xml:space="preserve">Holt-Winters</t>
  </si>
  <si>
    <t xml:space="preserve">Linear Regression</t>
  </si>
  <si>
    <t xml:space="preserve">Regression</t>
  </si>
  <si>
    <t xml:space="preserve">ARIMA</t>
  </si>
  <si>
    <t xml:space="preserve">modeler2</t>
  </si>
  <si>
    <t xml:space="preserve">Box-Jenkins</t>
  </si>
  <si>
    <t xml:space="preserve">SARIMA(0,1,1)(0,1,1)[12]+exog</t>
  </si>
  <si>
    <t xml:space="preserve">Forecast Combination</t>
  </si>
  <si>
    <t xml:space="preserve">Ensemble</t>
  </si>
  <si>
    <t xml:space="preserve">BEST MODEL (lowest Theil's U among fitted models):</t>
  </si>
  <si>
    <t xml:space="preserve">Best Model:</t>
  </si>
  <si>
    <t xml:space="preserve">Theil's U:</t>
  </si>
  <si>
    <t xml:space="preserve">Institutional Benchmark Comparison — VDA vs. Our Best Model</t>
  </si>
  <si>
    <t xml:space="preserve">Layer 2 comparison: sum 12 monthly forecasts → annual total → compare vs VDA published forecast at its origin date</t>
  </si>
  <si>
    <t xml:space="preserve">Forecast Year</t>
  </si>
  <si>
    <t xml:space="preserve">VDA Forecast Origin</t>
  </si>
  <si>
    <t xml:space="preserve">VDA Full-Year Fcst</t>
  </si>
  <si>
    <t xml:space="preserve">Actual Registrations</t>
  </si>
  <si>
    <t xml:space="preserve">VDA Error (units)</t>
  </si>
  <si>
    <t xml:space="preserve">VDA Error %</t>
  </si>
  <si>
    <t xml:space="preserve">Our Model Forecast</t>
  </si>
  <si>
    <t xml:space="preserve">Our Error (units)</t>
  </si>
  <si>
    <t xml:space="preserve">Our Error %</t>
  </si>
  <si>
    <t xml:space="preserve">Winner</t>
  </si>
  <si>
    <t xml:space="preserve">Jan-2024</t>
  </si>
  <si>
    <t xml:space="preserve">Dec-2024</t>
  </si>
  <si>
    <t xml:space="preserve">Dec-2025</t>
  </si>
  <si>
    <t xml:space="preserve">Yellow cells = fill in once backtest is complete</t>
  </si>
  <si>
    <t xml:space="preserve">Backtest Detail — Paste comparison_sheet.csv rows here</t>
  </si>
  <si>
    <t xml:space="preserve">model_name</t>
  </si>
  <si>
    <t xml:space="preserve">owner</t>
  </si>
  <si>
    <t xml:space="preserve">backtest_origin_date</t>
  </si>
  <si>
    <t xml:space="preserve">horizon</t>
  </si>
  <si>
    <t xml:space="preserve">theils_u</t>
  </si>
  <si>
    <t xml:space="preserve">white_noise_pvalue</t>
  </si>
  <si>
    <t xml:space="preserve">normality_pvalue</t>
  </si>
  <si>
    <t xml:space="preserve">in_sample_or_oos</t>
  </si>
  <si>
    <t xml:space="preserve">Paste the full contents of results/comparison_sheet.csv (rows 4 onward) into row 4 here. Do NOT paste the CSV header row — headers are already above.</t>
  </si>
  <si>
    <t xml:space="preserve">How to Use This Tracker — German Auto Registrations Forecasting Project</t>
  </si>
  <si>
    <t xml:space="preserve">SHEET: 📊 Model Leaderboard</t>
  </si>
  <si>
    <t xml:space="preserve">    1. For each model you run, fill in columns D–I (ME, MAE, RMSE, Theil's U, White Noise p-value, Normality p-value).</t>
  </si>
  <si>
    <t xml:space="preserve">    2. Columns K and L auto-calculate: 'Beats Naive?' checks Theil's U &lt; 1; 'Residuals OK?' checks both p-values &gt; 0.05.</t>
  </si>
  <si>
    <t xml:space="preserve">    3. Row 17 auto-highlights the best model by lowest Theil's U.</t>
  </si>
  <si>
    <t xml:space="preserve">    4. Yellow cells = fill these in. Do not change column headers or row order.</t>
  </si>
  <si>
    <t xml:space="preserve">SHEET: 🏁 VDA Benchmark</t>
  </si>
  <si>
    <t xml:space="preserve">    1. Column C (VDA forecast) and D (Actual registrations) are pre-filled for 2024 and 2025. 2026 actual is not yet known.</t>
  </si>
  <si>
    <t xml:space="preserve">    2. Once your best model's annual forecast is ready, fill in column G (Our Model Forecast) — this is the SUM of your 12 monthly forecasts for that year.</t>
  </si>
  <si>
    <t xml:space="preserve">    3. Winner column auto-computes: lower absolute error wins.</t>
  </si>
  <si>
    <t xml:space="preserve">SHEET: 📋 Backtest Detail</t>
  </si>
  <si>
    <t xml:space="preserve">    1. After running models, open results/comparison_sheet.csv in a text editor.</t>
  </si>
  <si>
    <t xml:space="preserve">    2. Copy all data rows (NOT the header row) and paste starting at row 4, column A of this sheet.</t>
  </si>
  <si>
    <t xml:space="preserve">    3. This gives you full row-by-row backtest history for each model and origin, useful for the presentation discussion.</t>
  </si>
  <si>
    <t xml:space="preserve">KEY METRICS — quick reference</t>
  </si>
  <si>
    <t xml:space="preserve">    ME (Mean Error): average signed error. Near zero = unbiased. Negative = model over-forecasts on average.</t>
  </si>
  <si>
    <t xml:space="preserve">    MAE: average absolute error in raw units (cars/month). Easier to interpret than RMSE.</t>
  </si>
  <si>
    <t xml:space="preserve">    RMSE: like MAE but penalises large errors more. Use for ranking models.</t>
  </si>
  <si>
    <t xml:space="preserve">    Theil's U: &lt; 1.0 = beats random walk (naive). Lower is better. This is your primary metric.</t>
  </si>
  <si>
    <t xml:space="preserve">    White Noise p: Ljung-Box test on residuals. &gt; 0.05 = residuals are white noise = model captured the structure. Good.</t>
  </si>
  <si>
    <t xml:space="preserve">    Normality p: Shapiro-Wilk. &gt; 0.05 = residuals are approximately normal. Failing here (especially on COVID-period data) is expected and explainable.</t>
  </si>
  <si>
    <t xml:space="preserve">IMPORTANT RULES</t>
  </si>
  <si>
    <t xml:space="preserve">    Do not compare models using different train/test windows — always use the shared backtest_harness.py expanding-window logic.</t>
  </si>
  <si>
    <t xml:space="preserve">    Layer 1 comparison (monthly, rich): use Theil's U from the Leaderboard sheet.</t>
  </si>
  <si>
    <t xml:space="preserve">    Layer 2 comparison (annual, VDA): sum 12 monthly forecasts for the target year and fill into the VDA Benchmark sheet. Do NOT compare monthly RMSE to VDA's annual figure directly.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</si>
</sst>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000"/>
    <numFmt numFmtId="167" formatCode="#,##0;\(#,##0\);\-"/>
    <numFmt numFmtId="168" formatCode="0.00%;\(0.00%\)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E8449"/>
      <name val="Arial"/>
      <family val="0"/>
      <charset val="1"/>
    </font>
    <font>
      <i val="true"/>
      <sz val="9"/>
      <color rgb="FF777777"/>
      <name val="Arial"/>
      <family val="0"/>
      <charset val="1"/>
    </font>
    <font>
      <sz val="10"/>
      <color rgb="FF1A1A1A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0D1B2A"/>
        <bgColor rgb="FF1A1A1A"/>
      </patternFill>
    </fill>
    <fill>
      <patternFill patternType="solid">
        <fgColor rgb="FF1B3A5C"/>
        <bgColor rgb="FF333399"/>
      </patternFill>
    </fill>
    <fill>
      <patternFill patternType="solid">
        <fgColor rgb="FFEAF3FB"/>
        <bgColor rgb="FFD5F5E3"/>
      </patternFill>
    </fill>
    <fill>
      <patternFill patternType="solid">
        <fgColor rgb="FFFEFDE7"/>
        <bgColor rgb="FFFFFFFF"/>
      </patternFill>
    </fill>
    <fill>
      <patternFill patternType="solid">
        <fgColor rgb="FFFFFFFF"/>
        <bgColor rgb="FFFEFDE7"/>
      </patternFill>
    </fill>
    <fill>
      <patternFill patternType="solid">
        <fgColor rgb="FFD5F5E3"/>
        <bgColor rgb="FFCCFFFF"/>
      </patternFill>
    </fill>
    <fill>
      <patternFill patternType="solid">
        <fgColor rgb="FFD4AC0D"/>
        <bgColor rgb="FFFFCC00"/>
      </patternFill>
    </fill>
    <fill>
      <patternFill patternType="solid">
        <fgColor rgb="FF2E6DA4"/>
        <bgColor rgb="FF3366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C9CA"/>
      </left>
      <right style="thin">
        <color rgb="FFBFC9CA"/>
      </right>
      <top style="thin">
        <color rgb="FFBFC9CA"/>
      </top>
      <bottom style="thin">
        <color rgb="FFBFC9C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7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6" fillId="9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4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C9CA"/>
      <rgbColor rgb="FF777777"/>
      <rgbColor rgb="FF9999FF"/>
      <rgbColor rgb="FF993366"/>
      <rgbColor rgb="FFFEFDE7"/>
      <rgbColor rgb="FFEAF3FB"/>
      <rgbColor rgb="FF660066"/>
      <rgbColor rgb="FFFF8080"/>
      <rgbColor rgb="FF2E6DA4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5E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D4AC0D"/>
      <rgbColor rgb="FFFF6600"/>
      <rgbColor rgb="FF555555"/>
      <rgbColor rgb="FF969696"/>
      <rgbColor rgb="FF1B3A5C"/>
      <rgbColor rgb="FF1E8449"/>
      <rgbColor rgb="FF0D1B2A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"/>
    <col collapsed="false" customWidth="true" hidden="false" outlineLevel="0" max="4" min="3" style="0" width="12"/>
    <col collapsed="false" customWidth="true" hidden="false" outlineLevel="0" max="6" min="5" style="0" width="13"/>
    <col collapsed="false" customWidth="true" hidden="false" outlineLevel="0" max="7" min="7" style="0" width="11"/>
    <col collapsed="false" customWidth="true" hidden="false" outlineLevel="0" max="9" min="8" style="0" width="13"/>
    <col collapsed="false" customWidth="true" hidden="false" outlineLevel="0" max="12" min="10" style="0" width="12"/>
    <col collapsed="false" customWidth="true" hidden="false" outlineLevel="0" max="13" min="13" style="0" width="30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6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6" hidden="false" customHeight="true" outlineLevel="0" collapsed="false"/>
    <row r="4" customFormat="false" ht="31.5" hidden="false" customHeight="tru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3" t="s">
        <v>14</v>
      </c>
    </row>
    <row r="5" customFormat="false" ht="15" hidden="false" customHeight="false" outlineLevel="0" collapsed="false">
      <c r="A5" s="5" t="s">
        <v>15</v>
      </c>
      <c r="B5" s="6" t="s">
        <v>16</v>
      </c>
      <c r="C5" s="6" t="s">
        <v>17</v>
      </c>
      <c r="D5" s="7"/>
      <c r="E5" s="7"/>
      <c r="F5" s="7"/>
      <c r="G5" s="8"/>
      <c r="H5" s="8"/>
      <c r="I5" s="8"/>
      <c r="J5" s="6" t="s">
        <v>18</v>
      </c>
      <c r="K5" s="9" t="str">
        <f aca="false">IF(G5="","—",IF(G5&lt;1,"✓ YES","✗ NO"))</f>
        <v>—</v>
      </c>
      <c r="L5" s="10" t="str">
        <f aca="false">IF(OR(H5="",I5=""),"—",IF(AND(H5&gt;0.05,I5&gt;0.05),"✓ Both pass",IF(AND(H5&lt;=0.05,I5&lt;=0.05),"✗ Both fail",IF(H5&lt;=0.05,"⚠ WN fail","⚠ Norm fail"))))</f>
        <v>—</v>
      </c>
      <c r="M5" s="11"/>
    </row>
    <row r="6" customFormat="false" ht="15" hidden="false" customHeight="false" outlineLevel="0" collapsed="false">
      <c r="A6" s="12" t="s">
        <v>19</v>
      </c>
      <c r="B6" s="13" t="s">
        <v>16</v>
      </c>
      <c r="C6" s="13" t="s">
        <v>17</v>
      </c>
      <c r="D6" s="7"/>
      <c r="E6" s="7"/>
      <c r="F6" s="7"/>
      <c r="G6" s="8"/>
      <c r="H6" s="8"/>
      <c r="I6" s="8"/>
      <c r="J6" s="13" t="s">
        <v>18</v>
      </c>
      <c r="K6" s="14" t="str">
        <f aca="false">IF(G6="","—",IF(G6&lt;1,"✓ YES","✗ NO"))</f>
        <v>—</v>
      </c>
      <c r="L6" s="15" t="str">
        <f aca="false">IF(OR(H6="",I6=""),"—",IF(AND(H6&gt;0.05,I6&gt;0.05),"✓ Both pass",IF(AND(H6&lt;=0.05,I6&lt;=0.05),"✗ Both fail",IF(H6&lt;=0.05,"⚠ WN fail","⚠ Norm fail"))))</f>
        <v>—</v>
      </c>
      <c r="M6" s="16"/>
    </row>
    <row r="7" customFormat="false" ht="15" hidden="false" customHeight="false" outlineLevel="0" collapsed="false">
      <c r="A7" s="5" t="s">
        <v>20</v>
      </c>
      <c r="B7" s="6" t="s">
        <v>16</v>
      </c>
      <c r="C7" s="6" t="s">
        <v>17</v>
      </c>
      <c r="D7" s="7"/>
      <c r="E7" s="7"/>
      <c r="F7" s="7"/>
      <c r="G7" s="8"/>
      <c r="H7" s="8"/>
      <c r="I7" s="8"/>
      <c r="J7" s="6" t="s">
        <v>18</v>
      </c>
      <c r="K7" s="9" t="str">
        <f aca="false">IF(G7="","—",IF(G7&lt;1,"✓ YES","✗ NO"))</f>
        <v>—</v>
      </c>
      <c r="L7" s="10" t="str">
        <f aca="false">IF(OR(H7="",I7=""),"—",IF(AND(H7&gt;0.05,I7&gt;0.05),"✓ Both pass",IF(AND(H7&lt;=0.05,I7&lt;=0.05),"✗ Both fail",IF(H7&lt;=0.05,"⚠ WN fail","⚠ Norm fail"))))</f>
        <v>—</v>
      </c>
      <c r="M7" s="11"/>
    </row>
    <row r="8" customFormat="false" ht="15" hidden="false" customHeight="false" outlineLevel="0" collapsed="false">
      <c r="A8" s="12" t="s">
        <v>21</v>
      </c>
      <c r="B8" s="13" t="s">
        <v>16</v>
      </c>
      <c r="C8" s="13" t="s">
        <v>22</v>
      </c>
      <c r="D8" s="7"/>
      <c r="E8" s="7"/>
      <c r="F8" s="7"/>
      <c r="G8" s="8"/>
      <c r="H8" s="8"/>
      <c r="I8" s="8"/>
      <c r="J8" s="13" t="s">
        <v>18</v>
      </c>
      <c r="K8" s="14" t="str">
        <f aca="false">IF(G8="","—",IF(G8&lt;1,"✓ YES","✗ NO"))</f>
        <v>—</v>
      </c>
      <c r="L8" s="15" t="str">
        <f aca="false">IF(OR(H8="",I8=""),"—",IF(AND(H8&gt;0.05,I8&gt;0.05),"✓ Both pass",IF(AND(H8&lt;=0.05,I8&lt;=0.05),"✗ Both fail",IF(H8&lt;=0.05,"⚠ WN fail","⚠ Norm fail"))))</f>
        <v>—</v>
      </c>
      <c r="M8" s="16"/>
    </row>
    <row r="9" customFormat="false" ht="15" hidden="false" customHeight="false" outlineLevel="0" collapsed="false">
      <c r="A9" s="5" t="s">
        <v>23</v>
      </c>
      <c r="B9" s="6" t="s">
        <v>16</v>
      </c>
      <c r="C9" s="6" t="s">
        <v>22</v>
      </c>
      <c r="D9" s="7"/>
      <c r="E9" s="7"/>
      <c r="F9" s="7"/>
      <c r="G9" s="8"/>
      <c r="H9" s="8"/>
      <c r="I9" s="8"/>
      <c r="J9" s="6" t="s">
        <v>18</v>
      </c>
      <c r="K9" s="9" t="str">
        <f aca="false">IF(G9="","—",IF(G9&lt;1,"✓ YES","✗ NO"))</f>
        <v>—</v>
      </c>
      <c r="L9" s="10" t="str">
        <f aca="false">IF(OR(H9="",I9=""),"—",IF(AND(H9&gt;0.05,I9&gt;0.05),"✓ Both pass",IF(AND(H9&lt;=0.05,I9&lt;=0.05),"✗ Both fail",IF(H9&lt;=0.05,"⚠ WN fail","⚠ Norm fail"))))</f>
        <v>—</v>
      </c>
      <c r="M9" s="11"/>
    </row>
    <row r="10" customFormat="false" ht="15" hidden="false" customHeight="false" outlineLevel="0" collapsed="false">
      <c r="A10" s="12" t="s">
        <v>24</v>
      </c>
      <c r="B10" s="13" t="s">
        <v>16</v>
      </c>
      <c r="C10" s="13" t="s">
        <v>22</v>
      </c>
      <c r="D10" s="7"/>
      <c r="E10" s="7"/>
      <c r="F10" s="7"/>
      <c r="G10" s="8"/>
      <c r="H10" s="8"/>
      <c r="I10" s="8"/>
      <c r="J10" s="13" t="s">
        <v>18</v>
      </c>
      <c r="K10" s="14" t="str">
        <f aca="false">IF(G10="","—",IF(G10&lt;1,"✓ YES","✗ NO"))</f>
        <v>—</v>
      </c>
      <c r="L10" s="15" t="str">
        <f aca="false">IF(OR(H10="",I10=""),"—",IF(AND(H10&gt;0.05,I10&gt;0.05),"✓ Both pass",IF(AND(H10&lt;=0.05,I10&lt;=0.05),"✗ Both fail",IF(H10&lt;=0.05,"⚠ WN fail","⚠ Norm fail"))))</f>
        <v>—</v>
      </c>
      <c r="M10" s="16"/>
    </row>
    <row r="11" customFormat="false" ht="15" hidden="false" customHeight="false" outlineLevel="0" collapsed="false">
      <c r="A11" s="5" t="s">
        <v>25</v>
      </c>
      <c r="B11" s="6" t="s">
        <v>16</v>
      </c>
      <c r="C11" s="6" t="s">
        <v>26</v>
      </c>
      <c r="D11" s="7"/>
      <c r="E11" s="7"/>
      <c r="F11" s="7"/>
      <c r="G11" s="8"/>
      <c r="H11" s="8"/>
      <c r="I11" s="8"/>
      <c r="J11" s="6" t="s">
        <v>18</v>
      </c>
      <c r="K11" s="9" t="str">
        <f aca="false">IF(G11="","—",IF(G11&lt;1,"✓ YES","✗ NO"))</f>
        <v>—</v>
      </c>
      <c r="L11" s="10" t="str">
        <f aca="false">IF(OR(H11="",I11=""),"—",IF(AND(H11&gt;0.05,I11&gt;0.05),"✓ Both pass",IF(AND(H11&lt;=0.05,I11&lt;=0.05),"✗ Both fail",IF(H11&lt;=0.05,"⚠ WN fail","⚠ Norm fail"))))</f>
        <v>—</v>
      </c>
      <c r="M11" s="11"/>
    </row>
    <row r="12" customFormat="false" ht="15" hidden="false" customHeight="false" outlineLevel="0" collapsed="false">
      <c r="A12" s="12" t="s">
        <v>27</v>
      </c>
      <c r="B12" s="13" t="s">
        <v>28</v>
      </c>
      <c r="C12" s="13" t="s">
        <v>29</v>
      </c>
      <c r="D12" s="7"/>
      <c r="E12" s="7"/>
      <c r="F12" s="7"/>
      <c r="G12" s="8"/>
      <c r="H12" s="8"/>
      <c r="I12" s="8"/>
      <c r="J12" s="13" t="s">
        <v>18</v>
      </c>
      <c r="K12" s="14" t="str">
        <f aca="false">IF(G12="","—",IF(G12&lt;1,"✓ YES","✗ NO"))</f>
        <v>—</v>
      </c>
      <c r="L12" s="15" t="str">
        <f aca="false">IF(OR(H12="",I12=""),"—",IF(AND(H12&gt;0.05,I12&gt;0.05),"✓ Both pass",IF(AND(H12&lt;=0.05,I12&lt;=0.05),"✗ Both fail",IF(H12&lt;=0.05,"⚠ WN fail","⚠ Norm fail"))))</f>
        <v>—</v>
      </c>
      <c r="M12" s="16"/>
    </row>
    <row r="13" customFormat="false" ht="15" hidden="false" customHeight="false" outlineLevel="0" collapsed="false">
      <c r="A13" s="5" t="s">
        <v>30</v>
      </c>
      <c r="B13" s="6" t="s">
        <v>28</v>
      </c>
      <c r="C13" s="6" t="s">
        <v>29</v>
      </c>
      <c r="D13" s="7"/>
      <c r="E13" s="7"/>
      <c r="F13" s="7"/>
      <c r="G13" s="8"/>
      <c r="H13" s="8"/>
      <c r="I13" s="8"/>
      <c r="J13" s="6" t="s">
        <v>18</v>
      </c>
      <c r="K13" s="9" t="str">
        <f aca="false">IF(G13="","—",IF(G13&lt;1,"✓ YES","✗ NO"))</f>
        <v>—</v>
      </c>
      <c r="L13" s="10" t="str">
        <f aca="false">IF(OR(H13="",I13=""),"—",IF(AND(H13&gt;0.05,I13&gt;0.05),"✓ Both pass",IF(AND(H13&lt;=0.05,I13&lt;=0.05),"✗ Both fail",IF(H13&lt;=0.05,"⚠ WN fail","⚠ Norm fail"))))</f>
        <v>—</v>
      </c>
      <c r="M13" s="11"/>
    </row>
    <row r="14" customFormat="false" ht="15" hidden="false" customHeight="false" outlineLevel="0" collapsed="false">
      <c r="A14" s="12" t="s">
        <v>31</v>
      </c>
      <c r="B14" s="13" t="s">
        <v>28</v>
      </c>
      <c r="C14" s="13" t="s">
        <v>32</v>
      </c>
      <c r="D14" s="7"/>
      <c r="E14" s="7"/>
      <c r="F14" s="7"/>
      <c r="G14" s="8"/>
      <c r="H14" s="8"/>
      <c r="I14" s="8"/>
      <c r="J14" s="13" t="s">
        <v>18</v>
      </c>
      <c r="K14" s="14" t="str">
        <f aca="false">IF(G14="","—",IF(G14&lt;1,"✓ YES","✗ NO"))</f>
        <v>—</v>
      </c>
      <c r="L14" s="15" t="str">
        <f aca="false">IF(OR(H14="",I14=""),"—",IF(AND(H14&gt;0.05,I14&gt;0.05),"✓ Both pass",IF(AND(H14&lt;=0.05,I14&lt;=0.05),"✗ Both fail",IF(H14&lt;=0.05,"⚠ WN fail","⚠ Norm fail"))))</f>
        <v>—</v>
      </c>
      <c r="M14" s="16"/>
    </row>
    <row r="16" customFormat="false" ht="15.75" hidden="false" customHeight="true" outlineLevel="0" collapsed="false">
      <c r="A16" s="17" t="s">
        <v>33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</row>
    <row r="17" customFormat="false" ht="15" hidden="false" customHeight="false" outlineLevel="0" collapsed="false">
      <c r="A17" s="18" t="s">
        <v>34</v>
      </c>
      <c r="B17" s="19" t="str">
        <f aca="false">IFERROR(INDEX(A5:A14,MATCH(MIN(G5:G14),G5:G14,0)),"— fill in results first —")</f>
        <v>— fill in results first —</v>
      </c>
      <c r="C17" s="19"/>
      <c r="D17" s="19"/>
      <c r="E17" s="19"/>
      <c r="F17" s="19"/>
      <c r="G17" s="19"/>
      <c r="H17" s="19"/>
      <c r="I17" s="20" t="s">
        <v>35</v>
      </c>
      <c r="J17" s="21" t="n">
        <f aca="false">IFERROR(MIN(G5:G14),"—")</f>
        <v>0</v>
      </c>
      <c r="K17" s="21"/>
      <c r="L17" s="21"/>
      <c r="M17" s="21"/>
    </row>
  </sheetData>
  <mergeCells count="5">
    <mergeCell ref="A1:M1"/>
    <mergeCell ref="A2:M2"/>
    <mergeCell ref="A16:M16"/>
    <mergeCell ref="B17:H17"/>
    <mergeCell ref="J17:M17"/>
  </mergeCells>
  <conditionalFormatting sqref="G5:G14">
    <cfRule type="colorScale" priority="2">
      <colorScale>
        <cfvo type="min" val="0"/>
        <cfvo type="num" val="1"/>
        <cfvo type="max" val="0"/>
        <color rgb="FF63BE7B"/>
        <color rgb="FFFFEB84"/>
        <color rgb="FFF8696B"/>
      </colorScale>
    </cfRule>
  </conditionalFormatting>
  <conditionalFormatting sqref="F5:F14">
    <cfRule type="colorScale" priority="3">
      <colorScale>
        <cfvo type="min" val="0"/>
        <cfvo type="max" val="0"/>
        <color rgb="FF63BE7B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5" min="3" style="0" width="17"/>
    <col collapsed="false" customWidth="true" hidden="false" outlineLevel="0" max="6" min="6" style="0" width="13"/>
    <col collapsed="false" customWidth="true" hidden="false" outlineLevel="0" max="7" min="7" style="0" width="17"/>
    <col collapsed="false" customWidth="true" hidden="false" outlineLevel="0" max="8" min="8" style="0" width="16"/>
    <col collapsed="false" customWidth="true" hidden="false" outlineLevel="0" max="9" min="9" style="0" width="13"/>
    <col collapsed="false" customWidth="true" hidden="false" outlineLevel="0" max="10" min="10" style="0" width="12"/>
  </cols>
  <sheetData>
    <row r="1" customFormat="false" ht="21.75" hidden="false" customHeight="true" outlineLevel="0" collapsed="false">
      <c r="A1" s="1" t="s">
        <v>36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6" hidden="false" customHeight="true" outlineLevel="0" collapsed="false">
      <c r="A2" s="22" t="s">
        <v>37</v>
      </c>
      <c r="B2" s="22"/>
      <c r="C2" s="22"/>
      <c r="D2" s="22"/>
      <c r="E2" s="22"/>
      <c r="F2" s="22"/>
      <c r="G2" s="22"/>
      <c r="H2" s="22"/>
      <c r="I2" s="22"/>
      <c r="J2" s="22"/>
    </row>
    <row r="3" customFormat="false" ht="6" hidden="false" customHeight="true" outlineLevel="0" collapsed="false"/>
    <row r="4" customFormat="false" ht="31.5" hidden="false" customHeight="true" outlineLevel="0" collapsed="false">
      <c r="A4" s="4" t="s">
        <v>38</v>
      </c>
      <c r="B4" s="4" t="s">
        <v>39</v>
      </c>
      <c r="C4" s="4" t="s">
        <v>40</v>
      </c>
      <c r="D4" s="4" t="s">
        <v>41</v>
      </c>
      <c r="E4" s="4" t="s">
        <v>42</v>
      </c>
      <c r="F4" s="4" t="s">
        <v>43</v>
      </c>
      <c r="G4" s="4" t="s">
        <v>44</v>
      </c>
      <c r="H4" s="4" t="s">
        <v>45</v>
      </c>
      <c r="I4" s="4" t="s">
        <v>46</v>
      </c>
      <c r="J4" s="4" t="s">
        <v>47</v>
      </c>
    </row>
    <row r="5" customFormat="false" ht="15" hidden="false" customHeight="false" outlineLevel="0" collapsed="false">
      <c r="A5" s="23" t="n">
        <v>2024</v>
      </c>
      <c r="B5" s="6" t="s">
        <v>48</v>
      </c>
      <c r="C5" s="24" t="n">
        <v>2800000</v>
      </c>
      <c r="D5" s="7" t="n">
        <v>2817331</v>
      </c>
      <c r="E5" s="25" t="n">
        <f aca="false">IF(D5="","—",D5-C5)</f>
        <v>17331</v>
      </c>
      <c r="F5" s="26" t="n">
        <f aca="false">IF(D5="","—",(D5-C5)/C5)</f>
        <v>0.00618964285714286</v>
      </c>
      <c r="G5" s="7"/>
      <c r="H5" s="25" t="str">
        <f aca="false">IF(OR(D5="",G5=""),"—",D5-G5)</f>
        <v>—</v>
      </c>
      <c r="I5" s="26" t="str">
        <f aca="false">IF(OR(D5="",G5=""),"—",(D5-G5)/D5)</f>
        <v>—</v>
      </c>
      <c r="J5" s="9" t="str">
        <f aca="false">IF(OR(D5="",G5=""),"—",IF(ABS(H5)&lt;ABS(E5),"✓ Us","VDA"))</f>
        <v>—</v>
      </c>
    </row>
    <row r="6" customFormat="false" ht="15" hidden="false" customHeight="false" outlineLevel="0" collapsed="false">
      <c r="A6" s="27" t="n">
        <v>2025</v>
      </c>
      <c r="B6" s="13" t="s">
        <v>49</v>
      </c>
      <c r="C6" s="28" t="n">
        <v>2840000</v>
      </c>
      <c r="D6" s="7" t="n">
        <v>2857591</v>
      </c>
      <c r="E6" s="29" t="n">
        <f aca="false">IF(D6="","—",D6-C6)</f>
        <v>17591</v>
      </c>
      <c r="F6" s="30" t="n">
        <f aca="false">IF(D6="","—",(D6-C6)/C6)</f>
        <v>0.00619401408450704</v>
      </c>
      <c r="G6" s="7"/>
      <c r="H6" s="29" t="str">
        <f aca="false">IF(OR(D6="",G6=""),"—",D6-G6)</f>
        <v>—</v>
      </c>
      <c r="I6" s="30" t="str">
        <f aca="false">IF(OR(D6="",G6=""),"—",(D6-G6)/D6)</f>
        <v>—</v>
      </c>
      <c r="J6" s="14" t="str">
        <f aca="false">IF(OR(D6="",G6=""),"—",IF(ABS(H6)&lt;ABS(E6),"✓ Us","VDA"))</f>
        <v>—</v>
      </c>
    </row>
    <row r="7" customFormat="false" ht="15" hidden="false" customHeight="false" outlineLevel="0" collapsed="false">
      <c r="A7" s="23" t="n">
        <v>2026</v>
      </c>
      <c r="B7" s="6" t="s">
        <v>50</v>
      </c>
      <c r="C7" s="24" t="n">
        <v>2900000</v>
      </c>
      <c r="D7" s="7"/>
      <c r="E7" s="25" t="str">
        <f aca="false">IF(D7="","—",D7-C7)</f>
        <v>—</v>
      </c>
      <c r="F7" s="26" t="str">
        <f aca="false">IF(D7="","—",(D7-C7)/C7)</f>
        <v>—</v>
      </c>
      <c r="G7" s="7"/>
      <c r="H7" s="25" t="str">
        <f aca="false">IF(OR(D7="",G7=""),"—",D7-G7)</f>
        <v>—</v>
      </c>
      <c r="I7" s="26" t="str">
        <f aca="false">IF(OR(D7="",G7=""),"—",(D7-G7)/D7)</f>
        <v>—</v>
      </c>
      <c r="J7" s="9" t="str">
        <f aca="false">IF(OR(D7="",G7=""),"—",IF(ABS(H7)&lt;ABS(E7),"✓ Us","VDA"))</f>
        <v>—</v>
      </c>
    </row>
    <row r="9" customFormat="false" ht="15.75" hidden="false" customHeight="true" outlineLevel="0" collapsed="false">
      <c r="A9" s="31" t="s">
        <v>51</v>
      </c>
      <c r="B9" s="31"/>
      <c r="C9" s="31"/>
      <c r="D9" s="31"/>
      <c r="E9" s="31"/>
      <c r="F9" s="31"/>
      <c r="G9" s="31"/>
      <c r="H9" s="31"/>
      <c r="I9" s="31"/>
      <c r="J9" s="31"/>
    </row>
  </sheetData>
  <mergeCells count="3">
    <mergeCell ref="A1:J1"/>
    <mergeCell ref="A2:J2"/>
    <mergeCell ref="A9:J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9"/>
    <col collapsed="false" customWidth="true" hidden="false" outlineLevel="0" max="7" min="5" style="0" width="14"/>
    <col collapsed="false" customWidth="true" hidden="false" outlineLevel="0" max="8" min="8" style="0" width="12"/>
    <col collapsed="false" customWidth="true" hidden="false" outlineLevel="0" max="9" min="9" style="0" width="18"/>
    <col collapsed="false" customWidth="true" hidden="false" outlineLevel="0" max="10" min="10" style="0" width="16"/>
    <col collapsed="false" customWidth="true" hidden="false" outlineLevel="0" max="11" min="11" style="0" width="15"/>
  </cols>
  <sheetData>
    <row r="1" customFormat="false" ht="21.75" hidden="false" customHeight="true" outlineLevel="0" collapsed="false">
      <c r="A1" s="1" t="s">
        <v>52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6" hidden="false" customHeight="true" outlineLevel="0" collapsed="false"/>
    <row r="3" customFormat="false" ht="30" hidden="false" customHeight="true" outlineLevel="0" collapsed="false">
      <c r="A3" s="3" t="s">
        <v>53</v>
      </c>
      <c r="B3" s="4" t="s">
        <v>54</v>
      </c>
      <c r="C3" s="4" t="s">
        <v>55</v>
      </c>
      <c r="D3" s="4" t="s">
        <v>56</v>
      </c>
      <c r="E3" s="4" t="s">
        <v>5</v>
      </c>
      <c r="F3" s="4" t="s">
        <v>6</v>
      </c>
      <c r="G3" s="4" t="s">
        <v>7</v>
      </c>
      <c r="H3" s="4" t="s">
        <v>57</v>
      </c>
      <c r="I3" s="4" t="s">
        <v>58</v>
      </c>
      <c r="J3" s="4" t="s">
        <v>59</v>
      </c>
      <c r="K3" s="4" t="s">
        <v>60</v>
      </c>
    </row>
    <row r="4" customFormat="false" ht="15" hidden="false" customHeight="false" outlineLevel="0" collapsed="false">
      <c r="A4" s="32"/>
      <c r="B4" s="10"/>
      <c r="C4" s="10"/>
      <c r="D4" s="10"/>
      <c r="E4" s="10"/>
      <c r="F4" s="10"/>
      <c r="G4" s="10"/>
      <c r="H4" s="10"/>
      <c r="I4" s="10"/>
      <c r="J4" s="10"/>
      <c r="K4" s="10"/>
    </row>
    <row r="5" customFormat="false" ht="15" hidden="false" customHeight="false" outlineLevel="0" collapsed="false">
      <c r="A5" s="33"/>
      <c r="B5" s="15"/>
      <c r="C5" s="15"/>
      <c r="D5" s="15"/>
      <c r="E5" s="15"/>
      <c r="F5" s="15"/>
      <c r="G5" s="15"/>
      <c r="H5" s="15"/>
      <c r="I5" s="15"/>
      <c r="J5" s="15"/>
      <c r="K5" s="15"/>
    </row>
    <row r="6" customFormat="false" ht="15" hidden="false" customHeight="false" outlineLevel="0" collapsed="false">
      <c r="A6" s="32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customFormat="false" ht="15" hidden="false" customHeight="false" outlineLevel="0" collapsed="false">
      <c r="A7" s="33"/>
      <c r="B7" s="15"/>
      <c r="C7" s="15"/>
      <c r="D7" s="15"/>
      <c r="E7" s="15"/>
      <c r="F7" s="15"/>
      <c r="G7" s="15"/>
      <c r="H7" s="15"/>
      <c r="I7" s="15"/>
      <c r="J7" s="15"/>
      <c r="K7" s="15"/>
    </row>
    <row r="8" customFormat="false" ht="15" hidden="false" customHeight="false" outlineLevel="0" collapsed="false">
      <c r="A8" s="32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customFormat="false" ht="15" hidden="false" customHeight="false" outlineLevel="0" collapsed="false">
      <c r="A9" s="33"/>
      <c r="B9" s="15"/>
      <c r="C9" s="15"/>
      <c r="D9" s="15"/>
      <c r="E9" s="15"/>
      <c r="F9" s="15"/>
      <c r="G9" s="15"/>
      <c r="H9" s="15"/>
      <c r="I9" s="15"/>
      <c r="J9" s="15"/>
      <c r="K9" s="15"/>
    </row>
    <row r="10" customFormat="false" ht="15" hidden="false" customHeight="false" outlineLevel="0" collapsed="false">
      <c r="A10" s="32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customFormat="false" ht="15" hidden="false" customHeight="false" outlineLevel="0" collapsed="false">
      <c r="A11" s="33"/>
      <c r="B11" s="15"/>
      <c r="C11" s="15"/>
      <c r="D11" s="15"/>
      <c r="E11" s="15"/>
      <c r="F11" s="15"/>
      <c r="G11" s="15"/>
      <c r="H11" s="15"/>
      <c r="I11" s="15"/>
      <c r="J11" s="15"/>
      <c r="K11" s="15"/>
    </row>
    <row r="12" customFormat="false" ht="15" hidden="false" customHeight="false" outlineLevel="0" collapsed="false">
      <c r="A12" s="32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customFormat="false" ht="15" hidden="false" customHeight="false" outlineLevel="0" collapsed="false">
      <c r="A13" s="33"/>
      <c r="B13" s="15"/>
      <c r="C13" s="15"/>
      <c r="D13" s="15"/>
      <c r="E13" s="15"/>
      <c r="F13" s="15"/>
      <c r="G13" s="15"/>
      <c r="H13" s="15"/>
      <c r="I13" s="15"/>
      <c r="J13" s="15"/>
      <c r="K13" s="15"/>
    </row>
    <row r="14" customFormat="false" ht="15" hidden="false" customHeight="false" outlineLevel="0" collapsed="false">
      <c r="A14" s="32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customFormat="false" ht="15" hidden="false" customHeight="false" outlineLevel="0" collapsed="false">
      <c r="A15" s="33"/>
      <c r="B15" s="15"/>
      <c r="C15" s="15"/>
      <c r="D15" s="15"/>
      <c r="E15" s="15"/>
      <c r="F15" s="15"/>
      <c r="G15" s="15"/>
      <c r="H15" s="15"/>
      <c r="I15" s="15"/>
      <c r="J15" s="15"/>
      <c r="K15" s="15"/>
    </row>
    <row r="16" customFormat="false" ht="15" hidden="false" customHeight="false" outlineLevel="0" collapsed="false">
      <c r="A16" s="32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customFormat="false" ht="15" hidden="false" customHeight="false" outlineLevel="0" collapsed="false">
      <c r="A17" s="33"/>
      <c r="B17" s="15"/>
      <c r="C17" s="15"/>
      <c r="D17" s="15"/>
      <c r="E17" s="15"/>
      <c r="F17" s="15"/>
      <c r="G17" s="15"/>
      <c r="H17" s="15"/>
      <c r="I17" s="15"/>
      <c r="J17" s="15"/>
      <c r="K17" s="15"/>
    </row>
    <row r="18" customFormat="false" ht="15" hidden="false" customHeight="false" outlineLevel="0" collapsed="false">
      <c r="A18" s="32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customFormat="false" ht="15" hidden="false" customHeight="false" outlineLevel="0" collapsed="false">
      <c r="A19" s="33"/>
      <c r="B19" s="15"/>
      <c r="C19" s="15"/>
      <c r="D19" s="15"/>
      <c r="E19" s="15"/>
      <c r="F19" s="15"/>
      <c r="G19" s="15"/>
      <c r="H19" s="15"/>
      <c r="I19" s="15"/>
      <c r="J19" s="15"/>
      <c r="K19" s="15"/>
    </row>
    <row r="20" customFormat="false" ht="15" hidden="false" customHeight="false" outlineLevel="0" collapsed="false">
      <c r="A20" s="32"/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customFormat="false" ht="15" hidden="false" customHeight="false" outlineLevel="0" collapsed="false">
      <c r="A21" s="33"/>
      <c r="B21" s="15"/>
      <c r="C21" s="15"/>
      <c r="D21" s="15"/>
      <c r="E21" s="15"/>
      <c r="F21" s="15"/>
      <c r="G21" s="15"/>
      <c r="H21" s="15"/>
      <c r="I21" s="15"/>
      <c r="J21" s="15"/>
      <c r="K21" s="15"/>
    </row>
    <row r="22" customFormat="false" ht="15" hidden="false" customHeight="false" outlineLevel="0" collapsed="false">
      <c r="A22" s="32"/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 customFormat="false" ht="15" hidden="false" customHeight="false" outlineLevel="0" collapsed="false">
      <c r="A23" s="33"/>
      <c r="B23" s="15"/>
      <c r="C23" s="15"/>
      <c r="D23" s="15"/>
      <c r="E23" s="15"/>
      <c r="F23" s="15"/>
      <c r="G23" s="15"/>
      <c r="H23" s="15"/>
      <c r="I23" s="15"/>
      <c r="J23" s="15"/>
      <c r="K23" s="15"/>
    </row>
    <row r="25" customFormat="false" ht="15" hidden="false" customHeight="false" outlineLevel="0" collapsed="false">
      <c r="A25" s="34" t="s">
        <v>61</v>
      </c>
      <c r="B25" s="34"/>
      <c r="C25" s="34"/>
      <c r="D25" s="34"/>
      <c r="E25" s="34"/>
      <c r="F25" s="34"/>
      <c r="G25" s="34"/>
      <c r="H25" s="34"/>
      <c r="I25" s="34"/>
      <c r="J25" s="34"/>
      <c r="K25" s="34"/>
    </row>
  </sheetData>
  <mergeCells count="2">
    <mergeCell ref="A1:K1"/>
    <mergeCell ref="A25:K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</cols>
  <sheetData>
    <row r="1" customFormat="false" ht="21.75" hidden="false" customHeight="true" outlineLevel="0" collapsed="false">
      <c r="A1" s="35" t="s">
        <v>62</v>
      </c>
    </row>
    <row r="2" customFormat="false" ht="15" hidden="false" customHeight="true" outlineLevel="0" collapsed="false"/>
    <row r="3" customFormat="false" ht="18" hidden="false" customHeight="true" outlineLevel="0" collapsed="false">
      <c r="A3" s="36" t="s">
        <v>63</v>
      </c>
    </row>
    <row r="4" customFormat="false" ht="15" hidden="false" customHeight="true" outlineLevel="0" collapsed="false">
      <c r="A4" s="37" t="s">
        <v>64</v>
      </c>
    </row>
    <row r="5" customFormat="false" ht="15" hidden="false" customHeight="true" outlineLevel="0" collapsed="false">
      <c r="A5" s="38" t="s">
        <v>65</v>
      </c>
    </row>
    <row r="6" customFormat="false" ht="15" hidden="false" customHeight="true" outlineLevel="0" collapsed="false">
      <c r="A6" s="37" t="s">
        <v>66</v>
      </c>
    </row>
    <row r="7" customFormat="false" ht="15" hidden="false" customHeight="true" outlineLevel="0" collapsed="false">
      <c r="A7" s="38" t="s">
        <v>67</v>
      </c>
    </row>
    <row r="8" customFormat="false" ht="15" hidden="false" customHeight="true" outlineLevel="0" collapsed="false"/>
    <row r="9" customFormat="false" ht="18" hidden="false" customHeight="true" outlineLevel="0" collapsed="false">
      <c r="A9" s="36" t="s">
        <v>68</v>
      </c>
    </row>
    <row r="10" customFormat="false" ht="15" hidden="false" customHeight="true" outlineLevel="0" collapsed="false">
      <c r="A10" s="37" t="s">
        <v>69</v>
      </c>
    </row>
    <row r="11" customFormat="false" ht="15" hidden="false" customHeight="true" outlineLevel="0" collapsed="false">
      <c r="A11" s="38" t="s">
        <v>70</v>
      </c>
    </row>
    <row r="12" customFormat="false" ht="15" hidden="false" customHeight="true" outlineLevel="0" collapsed="false">
      <c r="A12" s="37" t="s">
        <v>71</v>
      </c>
    </row>
    <row r="13" customFormat="false" ht="15" hidden="false" customHeight="true" outlineLevel="0" collapsed="false"/>
    <row r="14" customFormat="false" ht="18" hidden="false" customHeight="true" outlineLevel="0" collapsed="false">
      <c r="A14" s="36" t="s">
        <v>72</v>
      </c>
    </row>
    <row r="15" customFormat="false" ht="15" hidden="false" customHeight="true" outlineLevel="0" collapsed="false">
      <c r="A15" s="38" t="s">
        <v>73</v>
      </c>
    </row>
    <row r="16" customFormat="false" ht="15" hidden="false" customHeight="true" outlineLevel="0" collapsed="false">
      <c r="A16" s="37" t="s">
        <v>74</v>
      </c>
    </row>
    <row r="17" customFormat="false" ht="15" hidden="false" customHeight="true" outlineLevel="0" collapsed="false">
      <c r="A17" s="38" t="s">
        <v>75</v>
      </c>
    </row>
    <row r="18" customFormat="false" ht="15" hidden="false" customHeight="true" outlineLevel="0" collapsed="false"/>
    <row r="19" customFormat="false" ht="18" hidden="false" customHeight="true" outlineLevel="0" collapsed="false">
      <c r="A19" s="36" t="s">
        <v>76</v>
      </c>
    </row>
    <row r="20" customFormat="false" ht="15" hidden="false" customHeight="true" outlineLevel="0" collapsed="false">
      <c r="A20" s="37" t="s">
        <v>77</v>
      </c>
    </row>
    <row r="21" customFormat="false" ht="15" hidden="false" customHeight="true" outlineLevel="0" collapsed="false">
      <c r="A21" s="38" t="s">
        <v>78</v>
      </c>
    </row>
    <row r="22" customFormat="false" ht="15" hidden="false" customHeight="true" outlineLevel="0" collapsed="false">
      <c r="A22" s="37" t="s">
        <v>79</v>
      </c>
    </row>
    <row r="23" customFormat="false" ht="15" hidden="false" customHeight="true" outlineLevel="0" collapsed="false">
      <c r="A23" s="38" t="s">
        <v>80</v>
      </c>
    </row>
    <row r="24" customFormat="false" ht="15" hidden="false" customHeight="true" outlineLevel="0" collapsed="false">
      <c r="A24" s="37" t="s">
        <v>81</v>
      </c>
    </row>
    <row r="25" customFormat="false" ht="15" hidden="false" customHeight="true" outlineLevel="0" collapsed="false">
      <c r="A25" s="38" t="s">
        <v>82</v>
      </c>
    </row>
    <row r="26" customFormat="false" ht="15" hidden="false" customHeight="true" outlineLevel="0" collapsed="false"/>
    <row r="27" customFormat="false" ht="18" hidden="false" customHeight="true" outlineLevel="0" collapsed="false">
      <c r="A27" s="36" t="s">
        <v>83</v>
      </c>
    </row>
    <row r="28" customFormat="false" ht="15" hidden="false" customHeight="true" outlineLevel="0" collapsed="false">
      <c r="A28" s="37" t="s">
        <v>84</v>
      </c>
    </row>
    <row r="29" customFormat="false" ht="15" hidden="false" customHeight="true" outlineLevel="0" collapsed="false">
      <c r="A29" s="38" t="s">
        <v>85</v>
      </c>
    </row>
    <row r="30" customFormat="false" ht="15" hidden="false" customHeight="true" outlineLevel="0" collapsed="false">
      <c r="A30" s="37" t="s">
        <v>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2026-06-22T12:03:32Z</dcterms:created>
  <dc:creator>openpyxl</dc:creator>
  <dc:description/>
  <dc:language>en-US</dc:language>
  <cp:lastModifiedBy/>
  <dcterms:modified xsi:type="dcterms:W3CDTF">2026-06-22T12:03:33Z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